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f571dda8e7f5ffef/Desktop/Project_1/"/>
    </mc:Choice>
  </mc:AlternateContent>
  <xr:revisionPtr revIDLastSave="31" documentId="8_{1FC4A156-29D8-42AE-8E42-5ED07AB71292}" xr6:coauthVersionLast="47" xr6:coauthVersionMax="47" xr10:uidLastSave="{30322B03-6585-40C3-9F19-EBC6398B715F}"/>
  <bookViews>
    <workbookView xWindow="-120" yWindow="-120" windowWidth="20730" windowHeight="11040" activeTab="2" xr2:uid="{00000000-000D-0000-FFFF-FFFF00000000}"/>
  </bookViews>
  <sheets>
    <sheet name="Platform_HE" sheetId="14" r:id="rId1"/>
    <sheet name="Avg_growth_rate" sheetId="15" r:id="rId2"/>
    <sheet name="Engage_vs_AdSpent" sheetId="16" r:id="rId3"/>
    <sheet name="Engagment Summary" sheetId="2" r:id="rId4"/>
  </sheet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gsBh9W7a48zZe43sKmwdG/98/HB9TUkO8zrb1W442d8=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B3C292-35ED-472F-A490-A352BA2D25A4}" keepAlive="1" name="Query - Post" description="Connection to the 'Post' query in the workbook." type="5" refreshedVersion="8" background="1" saveData="1">
    <dbPr connection="Provider=Microsoft.Mashup.OleDb.1;Data Source=$Workbook$;Location=Post;Extended Properties=&quot;&quot;" command="SELECT * FROM [Post]"/>
  </connection>
  <connection id="2" xr16:uid="{DD580E89-02E9-447A-9E5F-79C7703E46DE}" keepAlive="1" name="Query - Post1" description="Connection to the 'Post1' query in the workbook." type="5" refreshedVersion="8" background="1" saveData="1">
    <dbPr connection="Provider=Microsoft.Mashup.OleDb.1;Data Source=$Workbook$;Location=Post1;Extended Properties=&quot;&quot;" command="SELECT * FROM [Post1]"/>
  </connection>
</connections>
</file>

<file path=xl/sharedStrings.xml><?xml version="1.0" encoding="utf-8"?>
<sst xmlns="http://schemas.openxmlformats.org/spreadsheetml/2006/main" count="227" uniqueCount="17">
  <si>
    <t>Platform</t>
  </si>
  <si>
    <t>Twitter</t>
  </si>
  <si>
    <t>YouTube</t>
  </si>
  <si>
    <t>Instagram</t>
  </si>
  <si>
    <t>Facebook</t>
  </si>
  <si>
    <t>Week_Start_Date</t>
  </si>
  <si>
    <t>New_Followers</t>
  </si>
  <si>
    <t>Unfollows</t>
  </si>
  <si>
    <t>Total_Followers</t>
  </si>
  <si>
    <t>Engagement_Rate</t>
  </si>
  <si>
    <t>Ad_Spend</t>
  </si>
  <si>
    <t>Average of Engagement Rate</t>
  </si>
  <si>
    <t>Row Labels</t>
  </si>
  <si>
    <t>Growth_rate</t>
  </si>
  <si>
    <t>Average of Growth_rate</t>
  </si>
  <si>
    <t>Average of Engagement_Rate</t>
  </si>
  <si>
    <t>Average of Ad_Spend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</si>
</sst>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9" fontId="1" fillId="0" borderId="0" xfId="1" applyFont="1"/>
    <xf numFmtId="9" fontId="0" fillId="0" borderId="0" xfId="0" applyNumberFormat="1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2">
    <cellStyle name="Normal" xfId="0" builtinId="0"/>
    <cellStyle name="Percent" xfId="1" builtinId="5"/>
  </cellStyles>
  <dxfs count="8">
    <dxf>
      <numFmt numFmtId="2" formatCode="0.00"/>
    </dxf>
    <dxf>
      <numFmt numFmtId="2" formatCode="0.00"/>
    </dxf>
    <dxf>
      <numFmt numFmtId="13" formatCode="0%"/>
    </dxf>
    <dxf>
      <numFmt numFmtId="14" formatCode="0.0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customschemas.google.com/relationships/workbookmetadata" Target="metadata"/><Relationship Id="rId5" Type="http://schemas.openxmlformats.org/officeDocument/2006/relationships/pivotCacheDefinition" Target="pivotCache/pivotCacheDefinition1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[Task_3_Platform_Analysis.xlsx]Avg_growth_rate!PivotTable1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12270341207349E-2"/>
          <c:y val="0.27717373869932921"/>
          <c:w val="0.7812475940507436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Avg_growth_rate!$B$3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Avg_growth_rate!$A$4:$A$7</c:f>
              <c:strCache>
                <c:ptCount val="4"/>
                <c:pt idx="0">
                  <c:v>Twitter</c:v>
                </c:pt>
                <c:pt idx="1">
                  <c:v>YouTube</c:v>
                </c:pt>
                <c:pt idx="2">
                  <c:v>Instagram</c:v>
                </c:pt>
                <c:pt idx="3">
                  <c:v>Facebook</c:v>
                </c:pt>
              </c:strCache>
            </c:strRef>
          </c:cat>
          <c:val>
            <c:numRef>
              <c:f>Avg_growth_rate!$B$4:$B$7</c:f>
              <c:numCache>
                <c:formatCode>0.00%</c:formatCode>
                <c:ptCount val="4"/>
                <c:pt idx="0">
                  <c:v>9.2800256766213396E-3</c:v>
                </c:pt>
                <c:pt idx="1">
                  <c:v>9.021066631336009E-3</c:v>
                </c:pt>
                <c:pt idx="2">
                  <c:v>5.7625321264951823E-3</c:v>
                </c:pt>
                <c:pt idx="3">
                  <c:v>5.4649906832972654E-3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E-4AD3-AC0C-74F50E0E1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4344287"/>
        <c:axId val="1274352927"/>
      </c:barChart>
      <c:catAx>
        <c:axId val="1274344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52927"/>
        <c:crosses val="autoZero"/>
        <c:auto val="1"/>
        <c:lblAlgn val="ctr"/>
        <c:lblOffset val="100"/>
        <c:noMultiLvlLbl val="0"/>
      </c:catAx>
      <c:valAx>
        <c:axId val="127435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344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[Task_3_Platform_Analysis.xlsx]Engage_vs_AdSpent!PivotTable2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Engage_vs_AdSpent!$C$3</c:f>
              <c:strCache>
                <c:ptCount val="1"/>
                <c:pt idx="0">
                  <c:v>Average of Ad_Spend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Engage_vs_AdSpent!$A$4:$A$7</c:f>
              <c:strCache>
                <c:ptCount val="4"/>
                <c:pt idx="0">
                  <c:v>Twitter</c:v>
                </c:pt>
                <c:pt idx="1">
                  <c:v>YouTube</c:v>
                </c:pt>
                <c:pt idx="2">
                  <c:v>Instagram</c:v>
                </c:pt>
                <c:pt idx="3">
                  <c:v>Facebook</c:v>
                </c:pt>
              </c:strCache>
            </c:strRef>
          </c:cat>
          <c:val>
            <c:numRef>
              <c:f>Engage_vs_AdSpent!$C$4:$C$7</c:f>
              <c:numCache>
                <c:formatCode>0.00</c:formatCode>
                <c:ptCount val="4"/>
                <c:pt idx="0">
                  <c:v>21207.14</c:v>
                </c:pt>
                <c:pt idx="1">
                  <c:v>24572.94</c:v>
                </c:pt>
                <c:pt idx="2">
                  <c:v>23287.46</c:v>
                </c:pt>
                <c:pt idx="3">
                  <c:v>27590.78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7F-4285-BF7E-B8F6F6A9F6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406700735"/>
        <c:axId val="1406711295"/>
      </c:barChart>
      <c:lineChart>
        <c:grouping val="standard"/>
        <c:varyColors val="0"/>
        <c:ser>
          <c:idx val="0"/>
          <c:order val="0"/>
          <c:tx>
            <c:strRef>
              <c:f>Engage_vs_AdSpent!$B$3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Engage_vs_AdSpent!$A$4:$A$7</c:f>
              <c:strCache>
                <c:ptCount val="4"/>
                <c:pt idx="0">
                  <c:v>Twitter</c:v>
                </c:pt>
                <c:pt idx="1">
                  <c:v>YouTube</c:v>
                </c:pt>
                <c:pt idx="2">
                  <c:v>Instagram</c:v>
                </c:pt>
                <c:pt idx="3">
                  <c:v>Facebook</c:v>
                </c:pt>
              </c:strCache>
            </c:strRef>
          </c:cat>
          <c:val>
            <c:numRef>
              <c:f>Engage_vs_AdSpent!$B$4:$B$7</c:f>
              <c:numCache>
                <c:formatCode>0.00</c:formatCode>
                <c:ptCount val="4"/>
                <c:pt idx="0">
                  <c:v>5.6558000000000002</c:v>
                </c:pt>
                <c:pt idx="1">
                  <c:v>5.5587999999999997</c:v>
                </c:pt>
                <c:pt idx="2">
                  <c:v>5.7156000000000002</c:v>
                </c:pt>
                <c:pt idx="3">
                  <c:v>5.6486000000000001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7F-4285-BF7E-B8F6F6A9F6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6755935"/>
        <c:axId val="1406755455"/>
      </c:lineChart>
      <c:catAx>
        <c:axId val="1406700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711295"/>
        <c:crosses val="autoZero"/>
        <c:auto val="1"/>
        <c:lblAlgn val="ctr"/>
        <c:lblOffset val="100"/>
        <c:noMultiLvlLbl val="0"/>
      </c:catAx>
      <c:valAx>
        <c:axId val="1406711295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700735"/>
        <c:crosses val="autoZero"/>
        <c:crossBetween val="between"/>
      </c:valAx>
      <c:valAx>
        <c:axId val="1406755455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6755935"/>
        <c:crosses val="max"/>
        <c:crossBetween val="between"/>
      </c:valAx>
      <c:catAx>
        <c:axId val="140675593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0675545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</xdr:colOff>
      <xdr:row>3</xdr:row>
      <xdr:rowOff>14287</xdr:rowOff>
    </xdr:from>
    <xdr:to>
      <xdr:col>4</xdr:col>
      <xdr:colOff>190500</xdr:colOff>
      <xdr:row>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F61B5CC-3715-CD54-76E7-9B94278D8E08}"/>
            </a:ext>
          </a:extLst>
        </xdr:cNvPr>
        <xdr:cNvSpPr txBox="1"/>
      </xdr:nvSpPr>
      <xdr:spPr>
        <a:xfrm>
          <a:off x="2724150" y="585787"/>
          <a:ext cx="2647950" cy="595313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Instagram records</a:t>
          </a:r>
          <a:r>
            <a:rPr lang="en-IN" sz="1100" baseline="0"/>
            <a:t> the highest engagement rate due to reels and visual content </a:t>
          </a:r>
          <a:endParaRPr lang="en-IN" sz="1100"/>
        </a:p>
      </xdr:txBody>
    </xdr:sp>
    <xdr:clientData/>
  </xdr:twoCellAnchor>
  <xdr:oneCellAnchor>
    <xdr:from>
      <xdr:col>1</xdr:col>
      <xdr:colOff>1781176</xdr:colOff>
      <xdr:row>7</xdr:row>
      <xdr:rowOff>171451</xdr:rowOff>
    </xdr:from>
    <xdr:ext cx="2495550" cy="1104899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5B7E74C-CD47-3EC3-FBBB-5DF0B067C54C}"/>
            </a:ext>
          </a:extLst>
        </xdr:cNvPr>
        <xdr:cNvSpPr txBox="1"/>
      </xdr:nvSpPr>
      <xdr:spPr>
        <a:xfrm>
          <a:off x="2657476" y="1504951"/>
          <a:ext cx="2495550" cy="110489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Select the entire data</a:t>
          </a:r>
          <a:endParaRPr lang="en-IN">
            <a:effectLst/>
          </a:endParaRP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 to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Insert → Pivot Table</a:t>
          </a:r>
          <a:endParaRPr lang="en-IN">
            <a:effectLst/>
          </a:endParaRP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Drag:</a:t>
          </a:r>
          <a:endParaRPr lang="en-IN">
            <a:effectLst/>
          </a:endParaRP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Platform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→ Rows</a:t>
          </a:r>
          <a:endParaRPr lang="en-IN">
            <a:effectLst/>
          </a:endParaRP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Engagement Rate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→ Values</a:t>
          </a:r>
          <a:endParaRPr lang="en-IN">
            <a:effectLst/>
          </a:endParaRP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Change Value Field Settings to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Average</a:t>
          </a:r>
          <a:endParaRPr lang="en-IN">
            <a:effectLst/>
          </a:endParaRPr>
        </a:p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1</xdr:row>
      <xdr:rowOff>14287</xdr:rowOff>
    </xdr:from>
    <xdr:to>
      <xdr:col>10</xdr:col>
      <xdr:colOff>85725</xdr:colOff>
      <xdr:row>15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143A6C-0759-9898-95F5-446E450FEE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523875</xdr:colOff>
      <xdr:row>8</xdr:row>
      <xdr:rowOff>142874</xdr:rowOff>
    </xdr:from>
    <xdr:ext cx="1800225" cy="185737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F94F765-966E-5C38-DAEB-C53B97D64CF9}"/>
            </a:ext>
          </a:extLst>
        </xdr:cNvPr>
        <xdr:cNvSpPr txBox="1"/>
      </xdr:nvSpPr>
      <xdr:spPr>
        <a:xfrm>
          <a:off x="523875" y="1666874"/>
          <a:ext cx="1800225" cy="185737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Select the entire data</a:t>
          </a:r>
          <a:endParaRPr lang="en-IN">
            <a:effectLst/>
          </a:endParaRP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Go to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Insert → Pivot Table</a:t>
          </a:r>
          <a:endParaRPr lang="en-IN">
            <a:effectLst/>
          </a:endParaRP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Drag:</a:t>
          </a:r>
          <a:endParaRPr lang="en-IN">
            <a:effectLst/>
          </a:endParaRP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Platform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→ Rows</a:t>
          </a:r>
          <a:endParaRPr lang="en-IN">
            <a:effectLst/>
          </a:endParaRP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Growth Rate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→ Values</a:t>
          </a:r>
          <a:endParaRPr lang="en-IN">
            <a:effectLst/>
          </a:endParaRP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Change Value Field Settings to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Average</a:t>
          </a:r>
        </a:p>
        <a:p>
          <a:r>
            <a:rPr lang="en-IN" sz="1100" b="0">
              <a:effectLst/>
            </a:rPr>
            <a:t>Go</a:t>
          </a:r>
          <a:r>
            <a:rPr lang="en-IN" sz="1100" b="0" baseline="0">
              <a:effectLst/>
            </a:rPr>
            <a:t> to </a:t>
          </a:r>
          <a:r>
            <a:rPr lang="en-IN" sz="1100" b="1" baseline="0">
              <a:effectLst/>
            </a:rPr>
            <a:t>PivotTable Analyze  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→ Click on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Pivot Chart </a:t>
          </a:r>
        </a:p>
        <a:p>
          <a:r>
            <a:rPr lang="en-I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Chose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Bar Chart </a:t>
          </a:r>
          <a:r>
            <a:rPr lang="en-IN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and click ok</a:t>
          </a:r>
        </a:p>
        <a:p>
          <a:endParaRPr lang="en-IN" b="0">
            <a:effectLst/>
          </a:endParaRPr>
        </a:p>
      </xdr:txBody>
    </xdr:sp>
    <xdr:clientData/>
  </xdr:oneCellAnchor>
  <xdr:oneCellAnchor>
    <xdr:from>
      <xdr:col>3</xdr:col>
      <xdr:colOff>19050</xdr:colOff>
      <xdr:row>15</xdr:row>
      <xdr:rowOff>180975</xdr:rowOff>
    </xdr:from>
    <xdr:ext cx="5486400" cy="52387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828DC68-82D8-A3DC-43D9-7C45AF813A1E}"/>
            </a:ext>
          </a:extLst>
        </xdr:cNvPr>
        <xdr:cNvSpPr txBox="1"/>
      </xdr:nvSpPr>
      <xdr:spPr>
        <a:xfrm>
          <a:off x="3019425" y="3038475"/>
          <a:ext cx="5486400" cy="52387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b="1"/>
            <a:t>Twitter</a:t>
          </a:r>
          <a:r>
            <a:rPr lang="en-IN"/>
            <a:t> and </a:t>
          </a:r>
          <a:r>
            <a:rPr lang="en-IN" b="1"/>
            <a:t>YouTube</a:t>
          </a:r>
          <a:r>
            <a:rPr lang="en-IN"/>
            <a:t> are the </a:t>
          </a:r>
          <a:r>
            <a:rPr lang="en-IN" b="1"/>
            <a:t>strong platforms </a:t>
          </a:r>
          <a:r>
            <a:rPr lang="en-IN"/>
            <a:t>for follower gain, while </a:t>
          </a:r>
          <a:r>
            <a:rPr lang="en-IN" b="1"/>
            <a:t>Instagram</a:t>
          </a:r>
          <a:r>
            <a:rPr lang="en-IN"/>
            <a:t> shows </a:t>
          </a:r>
          <a:r>
            <a:rPr lang="en-IN" b="1"/>
            <a:t>moderate growth </a:t>
          </a:r>
          <a:r>
            <a:rPr lang="en-IN"/>
            <a:t>and Facebook primarily supports retention rather than expansion.</a:t>
          </a:r>
          <a:endParaRPr lang="en-I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2</xdr:row>
      <xdr:rowOff>14287</xdr:rowOff>
    </xdr:from>
    <xdr:to>
      <xdr:col>10</xdr:col>
      <xdr:colOff>390525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AB82A4-4BA2-1E3F-CECD-956E9A5351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238126</xdr:colOff>
      <xdr:row>10</xdr:row>
      <xdr:rowOff>161924</xdr:rowOff>
    </xdr:from>
    <xdr:ext cx="3638550" cy="1104901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F412FA-E6A9-E75F-F02E-CF8892985C95}"/>
            </a:ext>
          </a:extLst>
        </xdr:cNvPr>
        <xdr:cNvSpPr txBox="1"/>
      </xdr:nvSpPr>
      <xdr:spPr>
        <a:xfrm>
          <a:off x="238126" y="2066924"/>
          <a:ext cx="3638550" cy="1104901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100" b="1"/>
            <a:t>Myntra should maintain</a:t>
          </a:r>
          <a:r>
            <a:rPr lang="en-IN" sz="1100" b="1" baseline="0"/>
            <a:t> a multiplatform strategy, with Instagram and twitter a good ROI as Instgram has highest engagement with moderate ad spent similarly with twitter and with you tube and facebook it should focus on product demo and brand storytelling</a:t>
          </a:r>
          <a:endParaRPr lang="en-IN" sz="1100" b="1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Myntra_Social_Media_Analytic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10.463067592595" createdVersion="8" refreshedVersion="8" minRefreshableVersion="3" recordCount="300" xr:uid="{1ACB4E82-2930-46F5-8429-E60E1DE1DAA3}">
  <cacheSource type="worksheet">
    <worksheetSource ref="A1:P301" sheet="Post" r:id="rId2"/>
  </cacheSource>
  <cacheFields count="16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0">
      <sharedItems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Engagement Rate" numFmtId="9">
      <sharedItems containsSemiMixedTypes="0" containsString="0" containsNumber="1" minValue="5.2551586421122697E-2" maxValue="1.8129251700680271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" numFmtId="0">
      <sharedItems/>
    </cacheField>
    <cacheField name="Campaign_Name" numFmtId="0">
      <sharedItems/>
    </cacheField>
    <cacheField name="Hashtags Used 1" numFmtId="0">
      <sharedItems/>
    </cacheField>
    <cacheField name="Hashtags used 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11.850991087966" createdVersion="8" refreshedVersion="8" minRefreshableVersion="3" recordCount="200" xr:uid="{8E37276F-9432-43F1-A443-951BD46FB07E}">
  <cacheSource type="worksheet">
    <worksheetSource ref="A1:H201" sheet="Engagment Summary"/>
  </cacheSource>
  <cacheFields count="8">
    <cacheField name="Week_Start_Date" numFmtId="14">
      <sharedItems containsSemiMixedTypes="0" containsNonDate="0" containsDate="1" containsString="0" minDate="2024-06-03T00:00:00" maxDate="2025-05-13T00:00:00"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Growth_rate" numFmtId="9">
      <sharedItems containsSemiMixedTypes="0" containsString="0" containsNumber="1" minValue="-4.0819787301048958E-3" maxValue="0.10825114265095021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s v="2024-12-23"/>
    <s v="Reel"/>
    <s v="Explore the latest reel on Myntra! Trendy styles await."/>
    <n v="1461"/>
    <n v="184"/>
    <n v="344"/>
    <n v="21915"/>
    <n v="9.0759753593429152E-2"/>
    <n v="21675"/>
    <n v="15"/>
    <s v="#MyntraSale"/>
    <s v="FashionUpgrade"/>
    <s v="MyntraSale"/>
    <s v="NA"/>
  </r>
  <r>
    <s v="P002"/>
    <x v="0"/>
    <s v="2025-04-03"/>
    <s v="Text"/>
    <s v="Explore the latest text on Myntra! Trendy styles await."/>
    <n v="4054"/>
    <n v="389"/>
    <n v="493"/>
    <n v="64864"/>
    <n v="7.6097681302417369E-2"/>
    <n v="64383"/>
    <n v="117"/>
    <s v="#MyntraFashion"/>
    <s v="EndOfSeasonSale"/>
    <s v="MyntraFashion"/>
    <s v="NA"/>
  </r>
  <r>
    <s v="P003"/>
    <x v="1"/>
    <s v="2025-05-12"/>
    <s v="Reel"/>
    <s v="Explore the latest reel on Myntra! Trendy styles await."/>
    <n v="2795"/>
    <n v="105"/>
    <n v="49"/>
    <n v="53105"/>
    <n v="5.5531494209584788E-2"/>
    <n v="52307"/>
    <n v="204"/>
    <s v="#MyntraFashion,#MyntraSale"/>
    <s v="FashionUpgrade"/>
    <s v="MyntraFashion,"/>
    <s v="MyntraSale"/>
  </r>
  <r>
    <s v="P004"/>
    <x v="2"/>
    <s v="2024-08-12"/>
    <s v="Story"/>
    <s v="Explore the latest story on Myntra! Trendy styles await."/>
    <n v="2404"/>
    <n v="363"/>
    <n v="138"/>
    <n v="19232"/>
    <n v="0.15105033277870217"/>
    <n v="18636"/>
    <n v="128"/>
    <s v="#MyntraSale"/>
    <s v="FashionUpgrade"/>
    <s v="MyntraSale"/>
    <s v="NA"/>
  </r>
  <r>
    <s v="P005"/>
    <x v="1"/>
    <s v="2024-06-26"/>
    <s v="Reel"/>
    <s v="Explore the latest reel on Myntra! Trendy styles await."/>
    <n v="3557"/>
    <n v="687"/>
    <n v="424"/>
    <n v="71140"/>
    <n v="6.5617093055946027E-2"/>
    <n v="70701"/>
    <n v="224"/>
    <s v="#StyleWithMyntra,#MyntraFashion"/>
    <s v="MyntraFestiveEdit"/>
    <s v="StyleWithMyntra,"/>
    <s v="MyntraFashion"/>
  </r>
  <r>
    <s v="P006"/>
    <x v="3"/>
    <s v="2024-10-31"/>
    <s v="Carousel"/>
    <s v="Explore the latest carousel on Myntra! Trendy styles await."/>
    <n v="2945"/>
    <n v="930"/>
    <n v="355"/>
    <n v="23560"/>
    <n v="0.17954159592529711"/>
    <n v="23275"/>
    <n v="256"/>
    <s v="#MyntraTrend"/>
    <s v="EndOfSeasonSale"/>
    <s v="MyntraTrend"/>
    <s v="NA"/>
  </r>
  <r>
    <s v="P007"/>
    <x v="0"/>
    <s v="2024-06-24"/>
    <s v="Carousel"/>
    <s v="Explore the latest carousel on Myntra! Trendy styles await."/>
    <n v="3860"/>
    <n v="201"/>
    <n v="279"/>
    <n v="61760"/>
    <n v="7.0272020725388601E-2"/>
    <n v="61660"/>
    <n v="235"/>
    <s v="#MyntraTrend"/>
    <s v="MyntraFestiveEdit"/>
    <s v="MyntraTrend"/>
    <s v="NA"/>
  </r>
  <r>
    <s v="P008"/>
    <x v="1"/>
    <s v="2024-07-13"/>
    <s v="Image"/>
    <s v="Explore the latest image on Myntra! Trendy styles await."/>
    <n v="3929"/>
    <n v="262"/>
    <n v="278"/>
    <n v="43219"/>
    <n v="0.10340359564080613"/>
    <n v="42841"/>
    <n v="39"/>
    <s v="#MyntraFashion,#MyntraSale"/>
    <s v="MyntraFestiveEdit"/>
    <s v="MyntraFashion,"/>
    <s v="MyntraSale"/>
  </r>
  <r>
    <s v="P009"/>
    <x v="3"/>
    <s v="2024-08-30"/>
    <s v="Text"/>
    <s v="Explore the latest text on Myntra! Trendy styles await."/>
    <n v="3784"/>
    <n v="808"/>
    <n v="404"/>
    <n v="56760"/>
    <n v="8.8019732205778717E-2"/>
    <n v="56343"/>
    <n v="131"/>
    <s v="#MyntraFashion,#MyntraSale"/>
    <s v="MyntraFestiveEdit"/>
    <s v="MyntraFashion,"/>
    <s v="MyntraSale"/>
  </r>
  <r>
    <s v="P010"/>
    <x v="3"/>
    <s v="2025-03-11"/>
    <s v="Image"/>
    <s v="Explore the latest image on Myntra! Trendy styles await."/>
    <n v="4241"/>
    <n v="902"/>
    <n v="47"/>
    <n v="72097"/>
    <n v="7.198635172059864E-2"/>
    <n v="71598"/>
    <n v="167"/>
    <s v="#MyntraTrend"/>
    <s v="StyleRevolution"/>
    <s v="MyntraTrend"/>
    <s v="NA"/>
  </r>
  <r>
    <s v="P011"/>
    <x v="2"/>
    <s v="2025-02-02"/>
    <s v="Story"/>
    <s v="Explore the latest story on Myntra! Trendy styles await."/>
    <n v="1792"/>
    <n v="614"/>
    <n v="497"/>
    <n v="25088"/>
    <n v="0.11571269132653061"/>
    <n v="24675"/>
    <n v="65"/>
    <s v="#StyleWithMyntra"/>
    <s v="FashionUpgrade"/>
    <s v="StyleWithMyntra"/>
    <s v="NA"/>
  </r>
  <r>
    <s v="P012"/>
    <x v="3"/>
    <s v="2024-07-21"/>
    <s v="Reel"/>
    <s v="Explore the latest reel on Myntra! Trendy styles await."/>
    <n v="1946"/>
    <n v="686"/>
    <n v="377"/>
    <n v="23352"/>
    <n v="0.12885405960945528"/>
    <n v="22982"/>
    <n v="213"/>
    <s v="#StyleWithMyntra,#MyntraSale"/>
    <s v="MyntraFestiveEdit"/>
    <s v="StyleWithMyntra,"/>
    <s v="MyntraSale"/>
  </r>
  <r>
    <s v="P013"/>
    <x v="1"/>
    <s v="2024-11-18"/>
    <s v="Carousel"/>
    <s v="Explore the latest carousel on Myntra! Trendy styles await."/>
    <n v="1171"/>
    <n v="286"/>
    <n v="231"/>
    <n v="22249"/>
    <n v="7.5868578363072495E-2"/>
    <n v="21282"/>
    <n v="114"/>
    <s v="#MyntraFashion"/>
    <s v="StyleRevolution"/>
    <s v="MyntraFashion"/>
    <s v="NA"/>
  </r>
  <r>
    <s v="P014"/>
    <x v="3"/>
    <s v="2025-02-16"/>
    <s v="Story"/>
    <s v="Explore the latest story on Myntra! Trendy styles await."/>
    <n v="4242"/>
    <n v="555"/>
    <n v="131"/>
    <n v="33936"/>
    <n v="0.14521452145214522"/>
    <n v="33802"/>
    <n v="265"/>
    <s v="#MyntraSale,#MyntraFashion"/>
    <s v="MyntraFestiveEdit"/>
    <s v="MyntraSale,"/>
    <s v="MyntraFashion"/>
  </r>
  <r>
    <s v="P015"/>
    <x v="3"/>
    <s v="2024-10-24"/>
    <s v="Video"/>
    <s v="Explore the latest video on Myntra! Trendy styles await."/>
    <n v="3888"/>
    <n v="604"/>
    <n v="128"/>
    <n v="77760"/>
    <n v="5.941358024691358E-2"/>
    <n v="77167"/>
    <n v="20"/>
    <s v="#MyntraFashion,#FashionDeals"/>
    <s v="FashionUpgrade"/>
    <s v="MyntraFashion,"/>
    <s v="FashionDeals"/>
  </r>
  <r>
    <s v="P016"/>
    <x v="3"/>
    <s v="2024-08-26"/>
    <s v="Text"/>
    <s v="Explore the latest text on Myntra! Trendy styles await."/>
    <n v="3452"/>
    <n v="377"/>
    <n v="360"/>
    <n v="55232"/>
    <n v="7.5843713789107758E-2"/>
    <n v="55075"/>
    <n v="87"/>
    <s v="#MyntraSale,#FashionDeals"/>
    <s v="MyntraFestiveEdit"/>
    <s v="MyntraSale,"/>
    <s v="FashionDeals"/>
  </r>
  <r>
    <s v="P017"/>
    <x v="3"/>
    <s v="2025-05-05"/>
    <s v="Text"/>
    <s v="Explore the latest text on Myntra! Trendy styles await."/>
    <n v="4441"/>
    <n v="511"/>
    <n v="70"/>
    <n v="53292"/>
    <n v="9.4235532537716729E-2"/>
    <n v="53082"/>
    <n v="159"/>
    <s v="#FashionDeals"/>
    <s v="MyntraFestiveEdit"/>
    <s v="FashionDeals"/>
    <s v="NA"/>
  </r>
  <r>
    <s v="P018"/>
    <x v="2"/>
    <s v="2024-08-19"/>
    <s v="Reel"/>
    <s v="Explore the latest reel on Myntra! Trendy styles await."/>
    <n v="3000"/>
    <n v="382"/>
    <n v="325"/>
    <n v="36000"/>
    <n v="0.10297222222222223"/>
    <n v="35819"/>
    <n v="19"/>
    <s v="#StyleWithMyntra"/>
    <s v="EndOfSeasonSale"/>
    <s v="StyleWithMyntra"/>
    <s v="NA"/>
  </r>
  <r>
    <s v="P019"/>
    <x v="2"/>
    <s v="2024-06-23"/>
    <s v="Video"/>
    <s v="Explore the latest video on Myntra! Trendy styles await."/>
    <n v="1071"/>
    <n v="519"/>
    <n v="22"/>
    <n v="16065"/>
    <n v="0.10034235916588857"/>
    <n v="15865"/>
    <n v="103"/>
    <s v="#MyntraSale,#StyleWithMyntra"/>
    <s v="MyntraFestiveEdit"/>
    <s v="MyntraSale,"/>
    <s v="StyleWithMyntra"/>
  </r>
  <r>
    <s v="P020"/>
    <x v="2"/>
    <s v="2024-09-09"/>
    <s v="Carousel"/>
    <s v="Explore the latest carousel on Myntra! Trendy styles await."/>
    <n v="4054"/>
    <n v="488"/>
    <n v="373"/>
    <n v="77026"/>
    <n v="6.3809622724794221E-2"/>
    <n v="76881"/>
    <n v="25"/>
    <s v="#MyntraFashion,#MyntraSale"/>
    <s v="MyntraFestiveEdit"/>
    <s v="MyntraFashion,"/>
    <s v="MyntraSale"/>
  </r>
  <r>
    <s v="P021"/>
    <x v="2"/>
    <s v="2025-01-04"/>
    <s v="Reel"/>
    <s v="Explore the latest reel on Myntra! Trendy styles await."/>
    <n v="4838"/>
    <n v="640"/>
    <n v="128"/>
    <n v="72570"/>
    <n v="7.7249552156538517E-2"/>
    <n v="72396"/>
    <n v="83"/>
    <s v="#StyleWithMyntra,#MyntraTrend"/>
    <s v="MyntraFestiveEdit"/>
    <s v="StyleWithMyntra,"/>
    <s v="MyntraTrend"/>
  </r>
  <r>
    <s v="P022"/>
    <x v="3"/>
    <s v="2025-02-27"/>
    <s v="Text"/>
    <s v="Explore the latest text on Myntra! Trendy styles await."/>
    <n v="1570"/>
    <n v="187"/>
    <n v="260"/>
    <n v="25120"/>
    <n v="8.0294585987261149E-2"/>
    <n v="24613"/>
    <n v="133"/>
    <s v="#MyntraSale"/>
    <s v="StyleRevolution"/>
    <s v="MyntraSale"/>
    <s v="NA"/>
  </r>
  <r>
    <s v="P023"/>
    <x v="3"/>
    <s v="2024-11-06"/>
    <s v="Video"/>
    <s v="Explore the latest video on Myntra! Trendy styles await."/>
    <n v="1606"/>
    <n v="547"/>
    <n v="316"/>
    <n v="32120"/>
    <n v="7.6867995018679955E-2"/>
    <n v="31736"/>
    <n v="225"/>
    <s v="#MyntraSale"/>
    <s v="MyntraFestiveEdit"/>
    <s v="MyntraSale"/>
    <s v="NA"/>
  </r>
  <r>
    <s v="P024"/>
    <x v="3"/>
    <s v="2025-01-23"/>
    <s v="Video"/>
    <s v="Explore the latest video on Myntra! Trendy styles await."/>
    <n v="3961"/>
    <n v="761"/>
    <n v="131"/>
    <n v="67337"/>
    <n v="7.2070332803659209E-2"/>
    <n v="66615"/>
    <n v="161"/>
    <s v="#MyntraTrend"/>
    <s v="EndOfSeasonSale"/>
    <s v="MyntraTrend"/>
    <s v="NA"/>
  </r>
  <r>
    <s v="P025"/>
    <x v="0"/>
    <s v="2025-04-10"/>
    <s v="Carousel"/>
    <s v="Explore the latest carousel on Myntra! Trendy styles await."/>
    <n v="3128"/>
    <n v="211"/>
    <n v="197"/>
    <n v="59432"/>
    <n v="5.9496567505720827E-2"/>
    <n v="59182"/>
    <n v="238"/>
    <s v="#StyleWithMyntra,#MyntraSale"/>
    <s v="FashionUpgrade"/>
    <s v="StyleWithMyntra,"/>
    <s v="MyntraSale"/>
  </r>
  <r>
    <s v="P026"/>
    <x v="1"/>
    <s v="2025-04-05"/>
    <s v="Reel"/>
    <s v="Explore the latest reel on Myntra! Trendy styles await."/>
    <n v="3009"/>
    <n v="413"/>
    <n v="358"/>
    <n v="42126"/>
    <n v="8.9730807577268201E-2"/>
    <n v="41309"/>
    <n v="211"/>
    <s v="#MyntraSale"/>
    <s v="EndOfSeasonSale"/>
    <s v="MyntraSale"/>
    <s v="NA"/>
  </r>
  <r>
    <s v="P027"/>
    <x v="1"/>
    <s v="2024-09-17"/>
    <s v="Text"/>
    <s v="Explore the latest text on Myntra! Trendy styles await."/>
    <n v="2076"/>
    <n v="195"/>
    <n v="104"/>
    <n v="33216"/>
    <n v="7.1501685934489398E-2"/>
    <n v="32244"/>
    <n v="51"/>
    <s v="#MyntraTrend"/>
    <s v="StyleRevolution"/>
    <s v="MyntraTrend"/>
    <s v="NA"/>
  </r>
  <r>
    <s v="P028"/>
    <x v="2"/>
    <s v="2025-03-04"/>
    <s v="Video"/>
    <s v="Explore the latest video on Myntra! Trendy styles await."/>
    <n v="432"/>
    <n v="624"/>
    <n v="123"/>
    <n v="6912"/>
    <n v="0.17057291666666666"/>
    <n v="6259"/>
    <n v="79"/>
    <s v="#MyntraSale,#MyntraTrend"/>
    <s v="EndOfSeasonSale"/>
    <s v="MyntraSale,"/>
    <s v="MyntraTrend"/>
  </r>
  <r>
    <s v="P029"/>
    <x v="2"/>
    <s v="2025-01-31"/>
    <s v="Carousel"/>
    <s v="Explore the latest carousel on Myntra! Trendy styles await."/>
    <n v="2566"/>
    <n v="118"/>
    <n v="37"/>
    <n v="12830"/>
    <n v="0.21208106001558846"/>
    <n v="12264"/>
    <n v="221"/>
    <s v="#MyntraTrend,#MyntraFashion"/>
    <s v="MyntraFestiveEdit"/>
    <s v="MyntraTrend,"/>
    <s v="MyntraFashion"/>
  </r>
  <r>
    <s v="P030"/>
    <x v="2"/>
    <s v="2025-02-25"/>
    <s v="Video"/>
    <s v="Explore the latest video on Myntra! Trendy styles await."/>
    <n v="3095"/>
    <n v="39"/>
    <n v="78"/>
    <n v="55710"/>
    <n v="5.7655717106444085E-2"/>
    <n v="54808"/>
    <n v="93"/>
    <s v="#MyntraSale"/>
    <s v="StyleRevolution"/>
    <s v="MyntraSale"/>
    <s v="NA"/>
  </r>
  <r>
    <s v="P031"/>
    <x v="2"/>
    <s v="2024-12-16"/>
    <s v="Text"/>
    <s v="Explore the latest text on Myntra! Trendy styles await."/>
    <n v="438"/>
    <n v="153"/>
    <n v="275"/>
    <n v="3066"/>
    <n v="0.28245270711024134"/>
    <n v="2701"/>
    <n v="282"/>
    <s v="#MyntraTrend"/>
    <s v="StyleRevolution"/>
    <s v="MyntraTrend"/>
    <s v="NA"/>
  </r>
  <r>
    <s v="P032"/>
    <x v="0"/>
    <s v="2024-07-31"/>
    <s v="Carousel"/>
    <s v="Explore the latest carousel on Myntra! Trendy styles await."/>
    <n v="2278"/>
    <n v="10"/>
    <n v="321"/>
    <n v="13668"/>
    <n v="0.19088381621305239"/>
    <n v="12676"/>
    <n v="275"/>
    <s v="#MyntraTrend,#MyntraFashion"/>
    <s v="StyleRevolution"/>
    <s v="MyntraTrend,"/>
    <s v="MyntraFashion"/>
  </r>
  <r>
    <s v="P033"/>
    <x v="3"/>
    <s v="2024-08-21"/>
    <s v="Image"/>
    <s v="Explore the latest image on Myntra! Trendy styles await."/>
    <n v="1407"/>
    <n v="400"/>
    <n v="351"/>
    <n v="16884"/>
    <n v="0.12781331438047855"/>
    <n v="15954"/>
    <n v="113"/>
    <s v="#MyntraFashion,#FashionDeals"/>
    <s v="MyntraFestiveEdit"/>
    <s v="MyntraFashion,"/>
    <s v="FashionDeals"/>
  </r>
  <r>
    <s v="P034"/>
    <x v="3"/>
    <s v="2025-03-26"/>
    <s v="Text"/>
    <s v="Explore the latest text on Myntra! Trendy styles await."/>
    <n v="1652"/>
    <n v="89"/>
    <n v="357"/>
    <n v="29736"/>
    <n v="7.055421038471886E-2"/>
    <n v="28771"/>
    <n v="215"/>
    <s v="#MyntraTrend,#FashionDeals"/>
    <s v="EndOfSeasonSale"/>
    <s v="MyntraTrend,"/>
    <s v="FashionDeals"/>
  </r>
  <r>
    <s v="P035"/>
    <x v="2"/>
    <s v="2024-11-30"/>
    <s v="Video"/>
    <s v="Explore the latest video on Myntra! Trendy styles await."/>
    <n v="3775"/>
    <n v="16"/>
    <n v="239"/>
    <n v="33975"/>
    <n v="0.11861662987490802"/>
    <n v="33310"/>
    <n v="271"/>
    <s v="#StyleWithMyntra,#MyntraSale"/>
    <s v="MyntraFestiveEdit"/>
    <s v="StyleWithMyntra,"/>
    <s v="MyntraSale"/>
  </r>
  <r>
    <s v="P036"/>
    <x v="2"/>
    <s v="2025-04-19"/>
    <s v="Story"/>
    <s v="Explore the latest story on Myntra! Trendy styles await."/>
    <n v="4518"/>
    <n v="285"/>
    <n v="383"/>
    <n v="67770"/>
    <n v="7.6523535487678915E-2"/>
    <n v="67621"/>
    <n v="31"/>
    <s v="#FashionDeals"/>
    <s v="EndOfSeasonSale"/>
    <s v="FashionDeals"/>
    <s v="NA"/>
  </r>
  <r>
    <s v="P037"/>
    <x v="3"/>
    <s v="2025-01-06"/>
    <s v="Carousel"/>
    <s v="Explore the latest carousel on Myntra! Trendy styles await."/>
    <n v="3024"/>
    <n v="925"/>
    <n v="350"/>
    <n v="24192"/>
    <n v="0.17770337301587302"/>
    <n v="23518"/>
    <n v="36"/>
    <s v="#MyntraSale"/>
    <s v="MyntraFestiveEdit"/>
    <s v="MyntraSale"/>
    <s v="NA"/>
  </r>
  <r>
    <s v="P038"/>
    <x v="1"/>
    <s v="2025-02-17"/>
    <s v="Reel"/>
    <s v="Explore the latest reel on Myntra! Trendy styles await."/>
    <n v="3138"/>
    <n v="123"/>
    <n v="291"/>
    <n v="28242"/>
    <n v="0.12577012959422137"/>
    <n v="27550"/>
    <n v="87"/>
    <s v="#FashionDeals"/>
    <s v="StyleRevolution"/>
    <s v="FashionDeals"/>
    <s v="NA"/>
  </r>
  <r>
    <s v="P039"/>
    <x v="3"/>
    <s v="2024-11-25"/>
    <s v="Image"/>
    <s v="Explore the latest image on Myntra! Trendy styles await."/>
    <n v="3564"/>
    <n v="629"/>
    <n v="177"/>
    <n v="60588"/>
    <n v="7.2126493695121141E-2"/>
    <n v="59627"/>
    <n v="92"/>
    <s v="#FashionDeals,#MyntraSale"/>
    <s v="MyntraFestiveEdit"/>
    <s v="FashionDeals,"/>
    <s v="MyntraSale"/>
  </r>
  <r>
    <s v="P040"/>
    <x v="0"/>
    <s v="2025-03-07"/>
    <s v="Image"/>
    <s v="Explore the latest image on Myntra! Trendy styles await."/>
    <n v="4750"/>
    <n v="151"/>
    <n v="415"/>
    <n v="38000"/>
    <n v="0.13989473684210527"/>
    <n v="37792"/>
    <n v="299"/>
    <s v="#StyleWithMyntra,#MyntraSale"/>
    <s v="EndOfSeasonSale"/>
    <s v="StyleWithMyntra,"/>
    <s v="MyntraSale"/>
  </r>
  <r>
    <s v="P041"/>
    <x v="2"/>
    <s v="2025-03-08"/>
    <s v="Reel"/>
    <s v="Explore the latest reel on Myntra! Trendy styles await."/>
    <n v="456"/>
    <n v="629"/>
    <n v="428"/>
    <n v="8208"/>
    <n v="0.18433235867446393"/>
    <n v="7377"/>
    <n v="205"/>
    <s v="#MyntraSale,#FashionDeals"/>
    <s v="MyntraFestiveEdit"/>
    <s v="MyntraSale,"/>
    <s v="FashionDeals"/>
  </r>
  <r>
    <s v="P042"/>
    <x v="1"/>
    <s v="2025-03-05"/>
    <s v="Reel"/>
    <s v="Explore the latest reel on Myntra! Trendy styles await."/>
    <n v="1543"/>
    <n v="820"/>
    <n v="333"/>
    <n v="12344"/>
    <n v="0.21840570317563188"/>
    <n v="11496"/>
    <n v="241"/>
    <s v="#StyleWithMyntra"/>
    <s v="MyntraFestiveEdit"/>
    <s v="StyleWithMyntra"/>
    <s v="NA"/>
  </r>
  <r>
    <s v="P043"/>
    <x v="2"/>
    <s v="2024-12-14"/>
    <s v="Carousel"/>
    <s v="Explore the latest carousel on Myntra! Trendy styles await."/>
    <n v="2174"/>
    <n v="658"/>
    <n v="15"/>
    <n v="13044"/>
    <n v="0.21826126954921804"/>
    <n v="12206"/>
    <n v="137"/>
    <s v="#MyntraSale,#MyntraFashion"/>
    <s v="StyleRevolution"/>
    <s v="MyntraSale,"/>
    <s v="MyntraFashion"/>
  </r>
  <r>
    <s v="P044"/>
    <x v="0"/>
    <s v="2025-03-02"/>
    <s v="Image"/>
    <s v="Explore the latest image on Myntra! Trendy styles await."/>
    <n v="2358"/>
    <n v="784"/>
    <n v="344"/>
    <n v="35370"/>
    <n v="9.8558100084817649E-2"/>
    <n v="34475"/>
    <n v="216"/>
    <s v="#MyntraSale,#StyleWithMyntra"/>
    <s v="FashionUpgrade"/>
    <s v="MyntraSale,"/>
    <s v="StyleWithMyntra"/>
  </r>
  <r>
    <s v="P045"/>
    <x v="3"/>
    <s v="2024-11-01"/>
    <s v="Video"/>
    <s v="Explore the latest video on Myntra! Trendy styles await."/>
    <n v="3371"/>
    <n v="106"/>
    <n v="327"/>
    <n v="50565"/>
    <n v="7.5229902106199939E-2"/>
    <n v="49816"/>
    <n v="176"/>
    <s v="#FashionDeals"/>
    <s v="StyleRevolution"/>
    <s v="FashionDeals"/>
    <s v="NA"/>
  </r>
  <r>
    <s v="P046"/>
    <x v="0"/>
    <s v="2025-05-02"/>
    <s v="Video"/>
    <s v="Explore the latest video on Myntra! Trendy styles await."/>
    <n v="1108"/>
    <n v="177"/>
    <n v="212"/>
    <n v="8864"/>
    <n v="0.16888537906137185"/>
    <n v="8710"/>
    <n v="97"/>
    <s v="#MyntraFashion"/>
    <s v="StyleRevolution"/>
    <s v="MyntraFashion"/>
    <s v="NA"/>
  </r>
  <r>
    <s v="P047"/>
    <x v="0"/>
    <s v="2025-02-24"/>
    <s v="Carousel"/>
    <s v="Explore the latest carousel on Myntra! Trendy styles await."/>
    <n v="2704"/>
    <n v="752"/>
    <n v="153"/>
    <n v="21632"/>
    <n v="0.16683616863905326"/>
    <n v="20792"/>
    <n v="127"/>
    <s v="#FashionDeals,#MyntraFashion"/>
    <s v="FashionUpgrade"/>
    <s v="FashionDeals,"/>
    <s v="MyntraFashion"/>
  </r>
  <r>
    <s v="P048"/>
    <x v="0"/>
    <s v="2025-03-11"/>
    <s v="Story"/>
    <s v="Explore the latest story on Myntra! Trendy styles await."/>
    <n v="1950"/>
    <n v="295"/>
    <n v="478"/>
    <n v="37050"/>
    <n v="7.349527665317139E-2"/>
    <n v="36272"/>
    <n v="119"/>
    <s v="#MyntraFashion,#StyleWithMyntra"/>
    <s v="StyleRevolution"/>
    <s v="MyntraFashion,"/>
    <s v="StyleWithMyntra"/>
  </r>
  <r>
    <s v="P049"/>
    <x v="0"/>
    <s v="2024-06-10"/>
    <s v="Story"/>
    <s v="Explore the latest story on Myntra! Trendy styles await."/>
    <n v="2164"/>
    <n v="549"/>
    <n v="274"/>
    <n v="28132"/>
    <n v="0.10617801791554102"/>
    <n v="27361"/>
    <n v="177"/>
    <s v="#StyleWithMyntra"/>
    <s v="FashionUpgrade"/>
    <s v="StyleWithMyntra"/>
    <s v="NA"/>
  </r>
  <r>
    <s v="P050"/>
    <x v="1"/>
    <s v="2024-07-03"/>
    <s v="Story"/>
    <s v="Explore the latest story on Myntra! Trendy styles await."/>
    <n v="2754"/>
    <n v="130"/>
    <n v="90"/>
    <n v="22032"/>
    <n v="0.13498547567175018"/>
    <n v="21288"/>
    <n v="112"/>
    <s v="#MyntraFashion"/>
    <s v="FashionUpgrade"/>
    <s v="MyntraFashion"/>
    <s v="NA"/>
  </r>
  <r>
    <s v="P051"/>
    <x v="3"/>
    <s v="2024-06-13"/>
    <s v="Carousel"/>
    <s v="Explore the latest carousel on Myntra! Trendy styles await."/>
    <n v="2200"/>
    <n v="504"/>
    <n v="239"/>
    <n v="37400"/>
    <n v="7.8689839572192513E-2"/>
    <n v="36938"/>
    <n v="225"/>
    <s v="#MyntraSale"/>
    <s v="MyntraFestiveEdit"/>
    <s v="MyntraSale"/>
    <s v="NA"/>
  </r>
  <r>
    <s v="P052"/>
    <x v="3"/>
    <s v="2025-01-03"/>
    <s v="Image"/>
    <s v="Explore the latest image on Myntra! Trendy styles await."/>
    <n v="947"/>
    <n v="338"/>
    <n v="350"/>
    <n v="10417"/>
    <n v="0.1569549774407219"/>
    <n v="9730"/>
    <n v="34"/>
    <s v="#MyntraFashion,#MyntraSale"/>
    <s v="MyntraFestiveEdit"/>
    <s v="MyntraFashion,"/>
    <s v="MyntraSale"/>
  </r>
  <r>
    <s v="P053"/>
    <x v="1"/>
    <s v="2025-02-24"/>
    <s v="Carousel"/>
    <s v="Explore the latest carousel on Myntra! Trendy styles await."/>
    <n v="804"/>
    <n v="639"/>
    <n v="43"/>
    <n v="4020"/>
    <n v="0.36965174129353234"/>
    <n v="3144"/>
    <n v="11"/>
    <s v="#StyleWithMyntra,#MyntraTrend"/>
    <s v="StyleRevolution"/>
    <s v="StyleWithMyntra,"/>
    <s v="MyntraTrend"/>
  </r>
  <r>
    <s v="P054"/>
    <x v="1"/>
    <s v="2025-03-13"/>
    <s v="Carousel"/>
    <s v="Explore the latest carousel on Myntra! Trendy styles await."/>
    <n v="1686"/>
    <n v="904"/>
    <n v="472"/>
    <n v="18546"/>
    <n v="0.16510298716704411"/>
    <n v="18171"/>
    <n v="52"/>
    <s v="#MyntraFashion,#FashionDeals"/>
    <s v="EndOfSeasonSale"/>
    <s v="MyntraFashion,"/>
    <s v="FashionDeals"/>
  </r>
  <r>
    <s v="P055"/>
    <x v="3"/>
    <s v="2024-06-17"/>
    <s v="Image"/>
    <s v="Explore the latest image on Myntra! Trendy styles await."/>
    <n v="1226"/>
    <n v="119"/>
    <n v="7"/>
    <n v="14712"/>
    <n v="9.1897770527460579E-2"/>
    <n v="14049"/>
    <n v="123"/>
    <s v="#MyntraSale,#MyntraTrend"/>
    <s v="StyleRevolution"/>
    <s v="MyntraSale,"/>
    <s v="MyntraTrend"/>
  </r>
  <r>
    <s v="P056"/>
    <x v="3"/>
    <s v="2024-12-18"/>
    <s v="Carousel"/>
    <s v="Explore the latest carousel on Myntra! Trendy styles await."/>
    <n v="2946"/>
    <n v="498"/>
    <n v="367"/>
    <n v="29460"/>
    <n v="0.12936184657162253"/>
    <n v="28527"/>
    <n v="60"/>
    <s v="#StyleWithMyntra,#FashionDeals"/>
    <s v="EndOfSeasonSale"/>
    <s v="StyleWithMyntra,"/>
    <s v="FashionDeals"/>
  </r>
  <r>
    <s v="P057"/>
    <x v="0"/>
    <s v="2024-10-21"/>
    <s v="Video"/>
    <s v="Explore the latest video on Myntra! Trendy styles await."/>
    <n v="2825"/>
    <n v="535"/>
    <n v="295"/>
    <n v="45200"/>
    <n v="8.0862831858407078E-2"/>
    <n v="44739"/>
    <n v="169"/>
    <s v="#StyleWithMyntra"/>
    <s v="EndOfSeasonSale"/>
    <s v="StyleWithMyntra"/>
    <s v="NA"/>
  </r>
  <r>
    <s v="P058"/>
    <x v="2"/>
    <s v="2025-04-15"/>
    <s v="Reel"/>
    <s v="Explore the latest reel on Myntra! Trendy styles await."/>
    <n v="103"/>
    <n v="770"/>
    <n v="19"/>
    <n v="1030"/>
    <n v="0.86601941747572819"/>
    <n v="410"/>
    <n v="262"/>
    <s v="#MyntraSale"/>
    <s v="MyntraFestiveEdit"/>
    <s v="MyntraSale"/>
    <s v="NA"/>
  </r>
  <r>
    <s v="P059"/>
    <x v="2"/>
    <s v="2024-06-22"/>
    <s v="Text"/>
    <s v="Explore the latest text on Myntra! Trendy styles await."/>
    <n v="2180"/>
    <n v="263"/>
    <n v="387"/>
    <n v="30520"/>
    <n v="9.2726081258191345E-2"/>
    <n v="30059"/>
    <n v="174"/>
    <s v="#FashionDeals"/>
    <s v="FashionUpgrade"/>
    <s v="FashionDeals"/>
    <s v="NA"/>
  </r>
  <r>
    <s v="P060"/>
    <x v="2"/>
    <s v="2025-01-28"/>
    <s v="Video"/>
    <s v="Explore the latest video on Myntra! Trendy styles await."/>
    <n v="904"/>
    <n v="973"/>
    <n v="63"/>
    <n v="11752"/>
    <n v="0.1650782845473111"/>
    <n v="11580"/>
    <n v="84"/>
    <s v="#StyleWithMyntra"/>
    <s v="FashionUpgrade"/>
    <s v="StyleWithMyntra"/>
    <s v="NA"/>
  </r>
  <r>
    <s v="P061"/>
    <x v="0"/>
    <s v="2024-09-05"/>
    <s v="Video"/>
    <s v="Explore the latest video on Myntra! Trendy styles await."/>
    <n v="4886"/>
    <n v="983"/>
    <n v="409"/>
    <n v="43974"/>
    <n v="0.14276618001546368"/>
    <n v="43239"/>
    <n v="65"/>
    <s v="#MyntraFashion"/>
    <s v="FashionUpgrade"/>
    <s v="MyntraFashion"/>
    <s v="NA"/>
  </r>
  <r>
    <s v="P062"/>
    <x v="0"/>
    <s v="2024-11-22"/>
    <s v="Carousel"/>
    <s v="Explore the latest carousel on Myntra! Trendy styles await."/>
    <n v="53"/>
    <n v="81"/>
    <n v="379"/>
    <n v="954"/>
    <n v="0.53773584905660377"/>
    <n v="7"/>
    <n v="148"/>
    <s v="#FashionDeals"/>
    <s v="MyntraFestiveEdit"/>
    <s v="FashionDeals"/>
    <s v="NA"/>
  </r>
  <r>
    <s v="P063"/>
    <x v="0"/>
    <s v="2024-07-31"/>
    <s v="Carousel"/>
    <s v="Explore the latest carousel on Myntra! Trendy styles await."/>
    <n v="4507"/>
    <n v="217"/>
    <n v="13"/>
    <n v="90140"/>
    <n v="5.2551586421122697E-2"/>
    <n v="89591"/>
    <n v="125"/>
    <s v="#MyntraSale"/>
    <s v="FashionUpgrade"/>
    <s v="MyntraSale"/>
    <s v="NA"/>
  </r>
  <r>
    <s v="P064"/>
    <x v="3"/>
    <s v="2024-08-17"/>
    <s v="Image"/>
    <s v="Explore the latest image on Myntra! Trendy styles await."/>
    <n v="2878"/>
    <n v="248"/>
    <n v="416"/>
    <n v="43170"/>
    <n v="8.2047718322909427E-2"/>
    <n v="42667"/>
    <n v="75"/>
    <s v="#FashionDeals,#MyntraTrend"/>
    <s v="EndOfSeasonSale"/>
    <s v="FashionDeals,"/>
    <s v="MyntraTrend"/>
  </r>
  <r>
    <s v="P065"/>
    <x v="2"/>
    <s v="2025-03-28"/>
    <s v="Story"/>
    <s v="Explore the latest story on Myntra! Trendy styles await."/>
    <n v="1881"/>
    <n v="501"/>
    <n v="99"/>
    <n v="20691"/>
    <n v="0.11990720603160794"/>
    <n v="19987"/>
    <n v="289"/>
    <s v="#FashionDeals"/>
    <s v="EndOfSeasonSale"/>
    <s v="FashionDeals"/>
    <s v="NA"/>
  </r>
  <r>
    <s v="P066"/>
    <x v="0"/>
    <s v="2024-07-26"/>
    <s v="Carousel"/>
    <s v="Explore the latest carousel on Myntra! Trendy styles await."/>
    <n v="432"/>
    <n v="171"/>
    <n v="280"/>
    <n v="3024"/>
    <n v="0.29199735449735448"/>
    <n v="2285"/>
    <n v="184"/>
    <s v="#MyntraFashion"/>
    <s v="MyntraFestiveEdit"/>
    <s v="MyntraFashion"/>
    <s v="NA"/>
  </r>
  <r>
    <s v="P067"/>
    <x v="3"/>
    <s v="2025-03-29"/>
    <s v="Carousel"/>
    <s v="Explore the latest carousel on Myntra! Trendy styles await."/>
    <n v="4712"/>
    <n v="568"/>
    <n v="127"/>
    <n v="84816"/>
    <n v="6.3749764195434822E-2"/>
    <n v="84691"/>
    <n v="100"/>
    <s v="#FashionDeals"/>
    <s v="FashionUpgrade"/>
    <s v="FashionDeals"/>
    <s v="NA"/>
  </r>
  <r>
    <s v="P068"/>
    <x v="2"/>
    <s v="2024-12-08"/>
    <s v="Story"/>
    <s v="Explore the latest story on Myntra! Trendy styles await."/>
    <n v="2610"/>
    <n v="126"/>
    <n v="288"/>
    <n v="15660"/>
    <n v="0.19310344827586207"/>
    <n v="15145"/>
    <n v="73"/>
    <s v="#MyntraFashion"/>
    <s v="FashionUpgrade"/>
    <s v="MyntraFashion"/>
    <s v="NA"/>
  </r>
  <r>
    <s v="P069"/>
    <x v="0"/>
    <s v="2025-03-08"/>
    <s v="Text"/>
    <s v="Explore the latest text on Myntra! Trendy styles await."/>
    <n v="1292"/>
    <n v="626"/>
    <n v="496"/>
    <n v="25840"/>
    <n v="9.3421052631578946E-2"/>
    <n v="24916"/>
    <n v="149"/>
    <s v="#StyleWithMyntra,#MyntraTrend"/>
    <s v="StyleRevolution"/>
    <s v="StyleWithMyntra,"/>
    <s v="MyntraTrend"/>
  </r>
  <r>
    <s v="P070"/>
    <x v="3"/>
    <s v="2025-04-02"/>
    <s v="Video"/>
    <s v="Explore the latest video on Myntra! Trendy styles await."/>
    <n v="199"/>
    <n v="772"/>
    <n v="400"/>
    <n v="3582"/>
    <n v="0.38274706867671693"/>
    <n v="2988"/>
    <n v="43"/>
    <s v="#MyntraTrend"/>
    <s v="FashionUpgrade"/>
    <s v="MyntraTrend"/>
    <s v="NA"/>
  </r>
  <r>
    <s v="P071"/>
    <x v="1"/>
    <s v="2024-09-02"/>
    <s v="Carousel"/>
    <s v="Explore the latest carousel on Myntra! Trendy styles await."/>
    <n v="2551"/>
    <n v="915"/>
    <n v="205"/>
    <n v="30612"/>
    <n v="0.1199202926956749"/>
    <n v="30360"/>
    <n v="227"/>
    <s v="#MyntraSale,#FashionDeals"/>
    <s v="EndOfSeasonSale"/>
    <s v="MyntraSale,"/>
    <s v="FashionDeals"/>
  </r>
  <r>
    <s v="P072"/>
    <x v="1"/>
    <s v="2025-03-03"/>
    <s v="Reel"/>
    <s v="Explore the latest reel on Myntra! Trendy styles await."/>
    <n v="296"/>
    <n v="60"/>
    <n v="141"/>
    <n v="5624"/>
    <n v="8.837126600284495E-2"/>
    <n v="5239"/>
    <n v="88"/>
    <s v="#MyntraTrend"/>
    <s v="StyleRevolution"/>
    <s v="MyntraTrend"/>
    <s v="NA"/>
  </r>
  <r>
    <s v="P073"/>
    <x v="3"/>
    <s v="2024-10-18"/>
    <s v="Story"/>
    <s v="Explore the latest story on Myntra! Trendy styles await."/>
    <n v="4126"/>
    <n v="426"/>
    <n v="486"/>
    <n v="78394"/>
    <n v="6.4265122330790625E-2"/>
    <n v="77798"/>
    <n v="88"/>
    <s v="#MyntraFashion"/>
    <s v="FashionUpgrade"/>
    <s v="MyntraFashion"/>
    <s v="NA"/>
  </r>
  <r>
    <s v="P074"/>
    <x v="1"/>
    <s v="2024-10-28"/>
    <s v="Reel"/>
    <s v="Explore the latest reel on Myntra! Trendy styles await."/>
    <n v="1855"/>
    <n v="200"/>
    <n v="174"/>
    <n v="16695"/>
    <n v="0.13351302785265048"/>
    <n v="16330"/>
    <n v="123"/>
    <s v="#MyntraFashion"/>
    <s v="MyntraFestiveEdit"/>
    <s v="MyntraFashion"/>
    <s v="NA"/>
  </r>
  <r>
    <s v="P075"/>
    <x v="2"/>
    <s v="2024-08-01"/>
    <s v="Reel"/>
    <s v="Explore the latest reel on Myntra! Trendy styles await."/>
    <n v="1674"/>
    <n v="929"/>
    <n v="37"/>
    <n v="21762"/>
    <n v="0.12131237937689551"/>
    <n v="20998"/>
    <n v="255"/>
    <s v="#StyleWithMyntra,#FashionDeals"/>
    <s v="MyntraFestiveEdit"/>
    <s v="StyleWithMyntra,"/>
    <s v="FashionDeals"/>
  </r>
  <r>
    <s v="P076"/>
    <x v="0"/>
    <s v="2024-11-07"/>
    <s v="Story"/>
    <s v="Explore the latest story on Myntra! Trendy styles await."/>
    <n v="1121"/>
    <n v="135"/>
    <n v="18"/>
    <n v="15694"/>
    <n v="8.1177520071364848E-2"/>
    <n v="14957"/>
    <n v="99"/>
    <s v="#MyntraSale,#MyntraFashion"/>
    <s v="StyleRevolution"/>
    <s v="MyntraSale,"/>
    <s v="MyntraFashion"/>
  </r>
  <r>
    <s v="P077"/>
    <x v="3"/>
    <s v="2025-03-04"/>
    <s v="Story"/>
    <s v="Explore the latest story on Myntra! Trendy styles await."/>
    <n v="1249"/>
    <n v="116"/>
    <n v="420"/>
    <n v="8743"/>
    <n v="0.20416333066453163"/>
    <n v="8538"/>
    <n v="63"/>
    <s v="#MyntraFashion,#FashionDeals"/>
    <s v="MyntraFestiveEdit"/>
    <s v="MyntraFashion,"/>
    <s v="FashionDeals"/>
  </r>
  <r>
    <s v="P078"/>
    <x v="0"/>
    <s v="2024-06-17"/>
    <s v="Image"/>
    <s v="Explore the latest image on Myntra! Trendy styles await."/>
    <n v="954"/>
    <n v="324"/>
    <n v="288"/>
    <n v="19080"/>
    <n v="8.2075471698113203E-2"/>
    <n v="18859"/>
    <n v="21"/>
    <s v="#MyntraTrend"/>
    <s v="MyntraFestiveEdit"/>
    <s v="MyntraTrend"/>
    <s v="NA"/>
  </r>
  <r>
    <s v="P079"/>
    <x v="2"/>
    <s v="2024-10-09"/>
    <s v="Carousel"/>
    <s v="Explore the latest carousel on Myntra! Trendy styles await."/>
    <n v="3068"/>
    <n v="137"/>
    <n v="329"/>
    <n v="39884"/>
    <n v="8.860696018453515E-2"/>
    <n v="39404"/>
    <n v="266"/>
    <s v="#MyntraSale,#MyntraTrend"/>
    <s v="MyntraFestiveEdit"/>
    <s v="MyntraSale,"/>
    <s v="MyntraTrend"/>
  </r>
  <r>
    <s v="P080"/>
    <x v="2"/>
    <s v="2024-06-13"/>
    <s v="Story"/>
    <s v="Explore the latest story on Myntra! Trendy styles await."/>
    <n v="2103"/>
    <n v="892"/>
    <n v="103"/>
    <n v="39957"/>
    <n v="7.7533348349475686E-2"/>
    <n v="39466"/>
    <n v="28"/>
    <s v="#FashionDeals,#MyntraFashion"/>
    <s v="EndOfSeasonSale"/>
    <s v="FashionDeals,"/>
    <s v="MyntraFashion"/>
  </r>
  <r>
    <s v="P081"/>
    <x v="2"/>
    <s v="2024-10-19"/>
    <s v="Story"/>
    <s v="Explore the latest story on Myntra! Trendy styles await."/>
    <n v="1816"/>
    <n v="29"/>
    <n v="41"/>
    <n v="19976"/>
    <n v="9.4413295955146179E-2"/>
    <n v="19262"/>
    <n v="283"/>
    <s v="#MyntraTrend,#MyntraSale"/>
    <s v="MyntraFestiveEdit"/>
    <s v="MyntraTrend,"/>
    <s v="MyntraSale"/>
  </r>
  <r>
    <s v="P082"/>
    <x v="2"/>
    <s v="2024-07-24"/>
    <s v="Image"/>
    <s v="Explore the latest image on Myntra! Trendy styles await."/>
    <n v="725"/>
    <n v="88"/>
    <n v="428"/>
    <n v="14500"/>
    <n v="8.558620689655172E-2"/>
    <n v="13637"/>
    <n v="200"/>
    <s v="#MyntraTrend"/>
    <s v="MyntraFestiveEdit"/>
    <s v="MyntraTrend"/>
    <s v="NA"/>
  </r>
  <r>
    <s v="P083"/>
    <x v="1"/>
    <s v="2024-10-15"/>
    <s v="Video"/>
    <s v="Explore the latest video on Myntra! Trendy styles await."/>
    <n v="1094"/>
    <n v="472"/>
    <n v="21"/>
    <n v="9846"/>
    <n v="0.16118220597196831"/>
    <n v="9609"/>
    <n v="112"/>
    <s v="#MyntraTrend,#StyleWithMyntra"/>
    <s v="MyntraFestiveEdit"/>
    <s v="MyntraTrend,"/>
    <s v="StyleWithMyntra"/>
  </r>
  <r>
    <s v="P084"/>
    <x v="3"/>
    <s v="2024-12-09"/>
    <s v="Image"/>
    <s v="Explore the latest image on Myntra! Trendy styles await."/>
    <n v="1841"/>
    <n v="851"/>
    <n v="342"/>
    <n v="34979"/>
    <n v="8.6737756939878216E-2"/>
    <n v="34154"/>
    <n v="255"/>
    <s v="#MyntraFashion,#FashionDeals"/>
    <s v="FashionUpgrade"/>
    <s v="MyntraFashion,"/>
    <s v="FashionDeals"/>
  </r>
  <r>
    <s v="P085"/>
    <x v="2"/>
    <s v="2025-04-19"/>
    <s v="Image"/>
    <s v="Explore the latest image on Myntra! Trendy styles await."/>
    <n v="4177"/>
    <n v="569"/>
    <n v="55"/>
    <n v="25062"/>
    <n v="0.19156491900087783"/>
    <n v="24847"/>
    <n v="230"/>
    <s v="#MyntraFashion"/>
    <s v="FashionUpgrade"/>
    <s v="MyntraFashion"/>
    <s v="NA"/>
  </r>
  <r>
    <s v="P086"/>
    <x v="1"/>
    <s v="2025-01-27"/>
    <s v="Text"/>
    <s v="Explore the latest text on Myntra! Trendy styles await."/>
    <n v="3428"/>
    <n v="305"/>
    <n v="85"/>
    <n v="58276"/>
    <n v="6.5515821264328367E-2"/>
    <n v="58052"/>
    <n v="242"/>
    <s v="#MyntraTrend,#StyleWithMyntra"/>
    <s v="MyntraFestiveEdit"/>
    <s v="MyntraTrend,"/>
    <s v="StyleWithMyntra"/>
  </r>
  <r>
    <s v="P087"/>
    <x v="0"/>
    <s v="2024-06-06"/>
    <s v="Video"/>
    <s v="Explore the latest video on Myntra! Trendy styles await."/>
    <n v="1436"/>
    <n v="765"/>
    <n v="496"/>
    <n v="12924"/>
    <n v="0.20868152274837512"/>
    <n v="12701"/>
    <n v="197"/>
    <s v="#MyntraTrend,#MyntraSale"/>
    <s v="EndOfSeasonSale"/>
    <s v="MyntraTrend,"/>
    <s v="MyntraSale"/>
  </r>
  <r>
    <s v="P088"/>
    <x v="3"/>
    <s v="2024-07-07"/>
    <s v="Story"/>
    <s v="Explore the latest story on Myntra! Trendy styles await."/>
    <n v="302"/>
    <n v="47"/>
    <n v="430"/>
    <n v="5738"/>
    <n v="0.13576158940397351"/>
    <n v="4890"/>
    <n v="25"/>
    <s v="#MyntraFashion,#MyntraSale"/>
    <s v="EndOfSeasonSale"/>
    <s v="MyntraFashion,"/>
    <s v="MyntraSale"/>
  </r>
  <r>
    <s v="P089"/>
    <x v="0"/>
    <s v="2025-01-10"/>
    <s v="Image"/>
    <s v="Explore the latest image on Myntra! Trendy styles await."/>
    <n v="2214"/>
    <n v="249"/>
    <n v="152"/>
    <n v="15498"/>
    <n v="0.16873144921925409"/>
    <n v="14800"/>
    <n v="180"/>
    <s v="#MyntraSale"/>
    <s v="EndOfSeasonSale"/>
    <s v="MyntraSale"/>
    <s v="NA"/>
  </r>
  <r>
    <s v="P090"/>
    <x v="2"/>
    <s v="2024-06-03"/>
    <s v="Image"/>
    <s v="Explore the latest image on Myntra! Trendy styles await."/>
    <n v="3861"/>
    <n v="960"/>
    <n v="101"/>
    <n v="69498"/>
    <n v="7.0822181933293038E-2"/>
    <n v="68817"/>
    <n v="297"/>
    <s v="#MyntraFashion"/>
    <s v="EndOfSeasonSale"/>
    <s v="MyntraFashion"/>
    <s v="NA"/>
  </r>
  <r>
    <s v="P091"/>
    <x v="3"/>
    <s v="2025-03-24"/>
    <s v="Image"/>
    <s v="Explore the latest image on Myntra! Trendy styles await."/>
    <n v="1263"/>
    <n v="397"/>
    <n v="357"/>
    <n v="25260"/>
    <n v="7.984956452889945E-2"/>
    <n v="24615"/>
    <n v="137"/>
    <s v="#MyntraSale"/>
    <s v="EndOfSeasonSale"/>
    <s v="MyntraSale"/>
    <s v="NA"/>
  </r>
  <r>
    <s v="P092"/>
    <x v="0"/>
    <s v="2024-10-21"/>
    <s v="Story"/>
    <s v="Explore the latest story on Myntra! Trendy styles await."/>
    <n v="3801"/>
    <n v="967"/>
    <n v="401"/>
    <n v="38010"/>
    <n v="0.13599052880820836"/>
    <n v="37625"/>
    <n v="236"/>
    <s v="#StyleWithMyntra"/>
    <s v="StyleRevolution"/>
    <s v="StyleWithMyntra"/>
    <s v="NA"/>
  </r>
  <r>
    <s v="P093"/>
    <x v="2"/>
    <s v="2024-12-11"/>
    <s v="Video"/>
    <s v="Explore the latest video on Myntra! Trendy styles await."/>
    <n v="1431"/>
    <n v="951"/>
    <n v="26"/>
    <n v="8586"/>
    <n v="0.28045655718611695"/>
    <n v="8396"/>
    <n v="150"/>
    <s v="#MyntraTrend,#FashionDeals"/>
    <s v="FashionUpgrade"/>
    <s v="MyntraTrend,"/>
    <s v="FashionDeals"/>
  </r>
  <r>
    <s v="P094"/>
    <x v="2"/>
    <s v="2024-11-07"/>
    <s v="Image"/>
    <s v="Explore the latest image on Myntra! Trendy styles await."/>
    <n v="2647"/>
    <n v="304"/>
    <n v="170"/>
    <n v="18529"/>
    <n v="0.16843866371633656"/>
    <n v="17841"/>
    <n v="46"/>
    <s v="#StyleWithMyntra"/>
    <s v="EndOfSeasonSale"/>
    <s v="StyleWithMyntra"/>
    <s v="NA"/>
  </r>
  <r>
    <s v="P095"/>
    <x v="2"/>
    <s v="2024-11-08"/>
    <s v="Text"/>
    <s v="Explore the latest text on Myntra! Trendy styles await."/>
    <n v="3182"/>
    <n v="559"/>
    <n v="160"/>
    <n v="57276"/>
    <n v="6.8108806480899509E-2"/>
    <n v="56890"/>
    <n v="163"/>
    <s v="#StyleWithMyntra,#MyntraTrend"/>
    <s v="EndOfSeasonSale"/>
    <s v="StyleWithMyntra,"/>
    <s v="MyntraTrend"/>
  </r>
  <r>
    <s v="P096"/>
    <x v="0"/>
    <s v="2024-09-10"/>
    <s v="Image"/>
    <s v="Explore the latest image on Myntra! Trendy styles await."/>
    <n v="1238"/>
    <n v="366"/>
    <n v="444"/>
    <n v="19808"/>
    <n v="0.10339256865912763"/>
    <n v="19334"/>
    <n v="123"/>
    <s v="#FashionDeals"/>
    <s v="MyntraFestiveEdit"/>
    <s v="FashionDeals"/>
    <s v="NA"/>
  </r>
  <r>
    <s v="P097"/>
    <x v="2"/>
    <s v="2024-08-13"/>
    <s v="Image"/>
    <s v="Explore the latest image on Myntra! Trendy styles await."/>
    <n v="4739"/>
    <n v="527"/>
    <n v="135"/>
    <n v="61607"/>
    <n v="8.7668609086629767E-2"/>
    <n v="61333"/>
    <n v="36"/>
    <s v="#StyleWithMyntra,#MyntraSale"/>
    <s v="EndOfSeasonSale"/>
    <s v="StyleWithMyntra,"/>
    <s v="MyntraSale"/>
  </r>
  <r>
    <s v="P098"/>
    <x v="0"/>
    <s v="2024-06-10"/>
    <s v="Story"/>
    <s v="Explore the latest story on Myntra! Trendy styles await."/>
    <n v="1575"/>
    <n v="771"/>
    <n v="486"/>
    <n v="25200"/>
    <n v="0.11238095238095239"/>
    <n v="24826"/>
    <n v="17"/>
    <s v="#StyleWithMyntra"/>
    <s v="MyntraFestiveEdit"/>
    <s v="StyleWithMyntra"/>
    <s v="NA"/>
  </r>
  <r>
    <s v="P099"/>
    <x v="1"/>
    <s v="2024-07-02"/>
    <s v="Carousel"/>
    <s v="Explore the latest carousel on Myntra! Trendy styles await."/>
    <n v="4171"/>
    <n v="548"/>
    <n v="86"/>
    <n v="66736"/>
    <n v="7.2000119875329657E-2"/>
    <n v="66634"/>
    <n v="173"/>
    <s v="#StyleWithMyntra"/>
    <s v="MyntraFestiveEdit"/>
    <s v="StyleWithMyntra"/>
    <s v="NA"/>
  </r>
  <r>
    <s v="P100"/>
    <x v="1"/>
    <s v="2025-02-10"/>
    <s v="Video"/>
    <s v="Explore the latest video on Myntra! Trendy styles await."/>
    <n v="1766"/>
    <n v="92"/>
    <n v="424"/>
    <n v="24724"/>
    <n v="9.2298980747451867E-2"/>
    <n v="24333"/>
    <n v="52"/>
    <s v="#StyleWithMyntra"/>
    <s v="FashionUpgrade"/>
    <s v="StyleWithMyntra"/>
    <s v="NA"/>
  </r>
  <r>
    <s v="P101"/>
    <x v="1"/>
    <s v="2024-10-18"/>
    <s v="Video"/>
    <s v="Explore the latest video on Myntra! Trendy styles await."/>
    <n v="4450"/>
    <n v="983"/>
    <n v="143"/>
    <n v="75650"/>
    <n v="7.3707865168539333E-2"/>
    <n v="75008"/>
    <n v="12"/>
    <s v="#MyntraSale,#StyleWithMyntra"/>
    <s v="EndOfSeasonSale"/>
    <s v="MyntraSale,"/>
    <s v="StyleWithMyntra"/>
  </r>
  <r>
    <s v="P102"/>
    <x v="0"/>
    <s v="2024-09-18"/>
    <s v="Reel"/>
    <s v="Explore the latest reel on Myntra! Trendy styles await."/>
    <n v="1000"/>
    <n v="978"/>
    <n v="162"/>
    <n v="6000"/>
    <n v="0.35666666666666669"/>
    <n v="5221"/>
    <n v="223"/>
    <s v="#MyntraTrend,#MyntraFashion"/>
    <s v="MyntraFestiveEdit"/>
    <s v="MyntraTrend,"/>
    <s v="MyntraFashion"/>
  </r>
  <r>
    <s v="P103"/>
    <x v="3"/>
    <s v="2024-06-11"/>
    <s v="Image"/>
    <s v="Explore the latest image on Myntra! Trendy styles await."/>
    <n v="3689"/>
    <n v="48"/>
    <n v="306"/>
    <n v="40579"/>
    <n v="9.9632815002833983E-2"/>
    <n v="39588"/>
    <n v="212"/>
    <s v="#MyntraTrend"/>
    <s v="FashionUpgrade"/>
    <s v="MyntraTrend"/>
    <s v="NA"/>
  </r>
  <r>
    <s v="P104"/>
    <x v="1"/>
    <s v="2025-03-23"/>
    <s v="Story"/>
    <s v="Explore the latest story on Myntra! Trendy styles await."/>
    <n v="3655"/>
    <n v="568"/>
    <n v="286"/>
    <n v="32895"/>
    <n v="0.13707250341997265"/>
    <n v="32015"/>
    <n v="199"/>
    <s v="#MyntraTrend"/>
    <s v="StyleRevolution"/>
    <s v="MyntraTrend"/>
    <s v="NA"/>
  </r>
  <r>
    <s v="P105"/>
    <x v="2"/>
    <s v="2024-06-14"/>
    <s v="Carousel"/>
    <s v="Explore the latest carousel on Myntra! Trendy styles await."/>
    <n v="498"/>
    <n v="38"/>
    <n v="42"/>
    <n v="4482"/>
    <n v="0.12896028558679162"/>
    <n v="3647"/>
    <n v="32"/>
    <s v="#StyleWithMyntra,#FashionDeals"/>
    <s v="StyleRevolution"/>
    <s v="StyleWithMyntra,"/>
    <s v="FashionDeals"/>
  </r>
  <r>
    <s v="P106"/>
    <x v="2"/>
    <s v="2025-02-04"/>
    <s v="Image"/>
    <s v="Explore the latest image on Myntra! Trendy styles await."/>
    <n v="4619"/>
    <n v="821"/>
    <n v="499"/>
    <n v="69285"/>
    <n v="8.5718409468138843E-2"/>
    <n v="69141"/>
    <n v="298"/>
    <s v="#MyntraFashion"/>
    <s v="FashionUpgrade"/>
    <s v="MyntraFashion"/>
    <s v="NA"/>
  </r>
  <r>
    <s v="P107"/>
    <x v="1"/>
    <s v="2024-06-21"/>
    <s v="Image"/>
    <s v="Explore the latest image on Myntra! Trendy styles await."/>
    <n v="4832"/>
    <n v="893"/>
    <n v="10"/>
    <n v="91808"/>
    <n v="6.2467323109097243E-2"/>
    <n v="91296"/>
    <n v="182"/>
    <s v="#MyntraSale,#StyleWithMyntra"/>
    <s v="MyntraFestiveEdit"/>
    <s v="MyntraSale,"/>
    <s v="StyleWithMyntra"/>
  </r>
  <r>
    <s v="P108"/>
    <x v="0"/>
    <s v="2025-03-25"/>
    <s v="Video"/>
    <s v="Explore the latest video on Myntra! Trendy styles await."/>
    <n v="4050"/>
    <n v="871"/>
    <n v="347"/>
    <n v="52650"/>
    <n v="0.10005698005698006"/>
    <n v="51755"/>
    <n v="209"/>
    <s v="#StyleWithMyntra,#FashionDeals"/>
    <s v="FashionUpgrade"/>
    <s v="StyleWithMyntra,"/>
    <s v="FashionDeals"/>
  </r>
  <r>
    <s v="P109"/>
    <x v="0"/>
    <s v="2024-08-08"/>
    <s v="Story"/>
    <s v="Explore the latest story on Myntra! Trendy styles await."/>
    <n v="3649"/>
    <n v="215"/>
    <n v="413"/>
    <n v="25543"/>
    <n v="0.16744313510550835"/>
    <n v="24963"/>
    <n v="167"/>
    <s v="#MyntraFashion,#StyleWithMyntra"/>
    <s v="FashionUpgrade"/>
    <s v="MyntraFashion,"/>
    <s v="StyleWithMyntra"/>
  </r>
  <r>
    <s v="P110"/>
    <x v="2"/>
    <s v="2024-07-29"/>
    <s v="Reel"/>
    <s v="Explore the latest reel on Myntra! Trendy styles await."/>
    <n v="3523"/>
    <n v="753"/>
    <n v="482"/>
    <n v="38753"/>
    <n v="0.12277759141227776"/>
    <n v="38579"/>
    <n v="270"/>
    <s v="#FashionDeals,#StyleWithMyntra"/>
    <s v="EndOfSeasonSale"/>
    <s v="FashionDeals,"/>
    <s v="StyleWithMyntra"/>
  </r>
  <r>
    <s v="P111"/>
    <x v="1"/>
    <s v="2024-11-23"/>
    <s v="Image"/>
    <s v="Explore the latest image on Myntra! Trendy styles await."/>
    <n v="2719"/>
    <n v="17"/>
    <n v="285"/>
    <n v="40785"/>
    <n v="7.4071349760941527E-2"/>
    <n v="40281"/>
    <n v="40"/>
    <s v="#MyntraFashion,#StyleWithMyntra"/>
    <s v="MyntraFestiveEdit"/>
    <s v="MyntraFashion,"/>
    <s v="StyleWithMyntra"/>
  </r>
  <r>
    <s v="P112"/>
    <x v="0"/>
    <s v="2024-10-05"/>
    <s v="Story"/>
    <s v="Explore the latest story on Myntra! Trendy styles await."/>
    <n v="1957"/>
    <n v="877"/>
    <n v="238"/>
    <n v="17613"/>
    <n v="0.17441662408448305"/>
    <n v="16865"/>
    <n v="297"/>
    <s v="#MyntraFashion,#MyntraSale"/>
    <s v="MyntraFestiveEdit"/>
    <s v="MyntraFashion,"/>
    <s v="MyntraSale"/>
  </r>
  <r>
    <s v="P113"/>
    <x v="0"/>
    <s v="2024-10-02"/>
    <s v="Carousel"/>
    <s v="Explore the latest carousel on Myntra! Trendy styles await."/>
    <n v="4419"/>
    <n v="236"/>
    <n v="369"/>
    <n v="44190"/>
    <n v="0.11369088028965829"/>
    <n v="43582"/>
    <n v="10"/>
    <s v="#MyntraTrend"/>
    <s v="StyleRevolution"/>
    <s v="MyntraTrend"/>
    <s v="NA"/>
  </r>
  <r>
    <s v="P114"/>
    <x v="0"/>
    <s v="2024-11-14"/>
    <s v="Story"/>
    <s v="Explore the latest story on Myntra! Trendy styles await."/>
    <n v="4000"/>
    <n v="689"/>
    <n v="488"/>
    <n v="40000"/>
    <n v="0.12942500000000001"/>
    <n v="39569"/>
    <n v="44"/>
    <s v="#FashionDeals,#MyntraFashion"/>
    <s v="MyntraFestiveEdit"/>
    <s v="FashionDeals,"/>
    <s v="MyntraFashion"/>
  </r>
  <r>
    <s v="P115"/>
    <x v="0"/>
    <s v="2025-05-11"/>
    <s v="Image"/>
    <s v="Explore the latest image on Myntra! Trendy styles await."/>
    <n v="2493"/>
    <n v="97"/>
    <n v="44"/>
    <n v="42381"/>
    <n v="6.2150491965739366E-2"/>
    <n v="41991"/>
    <n v="242"/>
    <s v="#MyntraSale,#StyleWithMyntra"/>
    <s v="FashionUpgrade"/>
    <s v="MyntraSale,"/>
    <s v="StyleWithMyntra"/>
  </r>
  <r>
    <s v="P116"/>
    <x v="1"/>
    <s v="2025-03-18"/>
    <s v="Reel"/>
    <s v="Explore the latest reel on Myntra! Trendy styles await."/>
    <n v="3704"/>
    <n v="186"/>
    <n v="458"/>
    <n v="25928"/>
    <n v="0.16769515581610614"/>
    <n v="25081"/>
    <n v="131"/>
    <s v="#StyleWithMyntra"/>
    <s v="FashionUpgrade"/>
    <s v="StyleWithMyntra"/>
    <s v="NA"/>
  </r>
  <r>
    <s v="P117"/>
    <x v="0"/>
    <s v="2024-11-04"/>
    <s v="Image"/>
    <s v="Explore the latest image on Myntra! Trendy styles await."/>
    <n v="1606"/>
    <n v="451"/>
    <n v="405"/>
    <n v="20878"/>
    <n v="0.11792317271769326"/>
    <n v="20190"/>
    <n v="219"/>
    <s v="#MyntraSale,#StyleWithMyntra"/>
    <s v="EndOfSeasonSale"/>
    <s v="MyntraSale,"/>
    <s v="StyleWithMyntra"/>
  </r>
  <r>
    <s v="P118"/>
    <x v="3"/>
    <s v="2024-11-04"/>
    <s v="Image"/>
    <s v="Explore the latest image on Myntra! Trendy styles await."/>
    <n v="4551"/>
    <n v="714"/>
    <n v="207"/>
    <n v="68265"/>
    <n v="8.0158206987475278E-2"/>
    <n v="67754"/>
    <n v="57"/>
    <s v="#MyntraTrend"/>
    <s v="EndOfSeasonSale"/>
    <s v="MyntraTrend"/>
    <s v="NA"/>
  </r>
  <r>
    <s v="P119"/>
    <x v="2"/>
    <s v="2025-02-07"/>
    <s v="Reel"/>
    <s v="Explore the latest reel on Myntra! Trendy styles await."/>
    <n v="1970"/>
    <n v="675"/>
    <n v="478"/>
    <n v="9850"/>
    <n v="0.31705583756345179"/>
    <n v="8924"/>
    <n v="117"/>
    <s v="#MyntraTrend"/>
    <s v="StyleRevolution"/>
    <s v="MyntraTrend"/>
    <s v="NA"/>
  </r>
  <r>
    <s v="P120"/>
    <x v="3"/>
    <s v="2024-10-21"/>
    <s v="Story"/>
    <s v="Explore the latest story on Myntra! Trendy styles await."/>
    <n v="780"/>
    <n v="928"/>
    <n v="301"/>
    <n v="8580"/>
    <n v="0.23414918414918415"/>
    <n v="8081"/>
    <n v="91"/>
    <s v="#MyntraSale,#MyntraFashion"/>
    <s v="StyleRevolution"/>
    <s v="MyntraSale,"/>
    <s v="MyntraFashion"/>
  </r>
  <r>
    <s v="P121"/>
    <x v="2"/>
    <s v="2024-07-29"/>
    <s v="Story"/>
    <s v="Explore the latest story on Myntra! Trendy styles await."/>
    <n v="498"/>
    <n v="701"/>
    <n v="412"/>
    <n v="4980"/>
    <n v="0.32349397590361445"/>
    <n v="4185"/>
    <n v="185"/>
    <s v="#FashionDeals,#StyleWithMyntra"/>
    <s v="StyleRevolution"/>
    <s v="FashionDeals,"/>
    <s v="StyleWithMyntra"/>
  </r>
  <r>
    <s v="P122"/>
    <x v="2"/>
    <s v="2024-10-02"/>
    <s v="Text"/>
    <s v="Explore the latest text on Myntra! Trendy styles await."/>
    <n v="3432"/>
    <n v="869"/>
    <n v="123"/>
    <n v="54912"/>
    <n v="8.0565268065268064E-2"/>
    <n v="53916"/>
    <n v="264"/>
    <s v="#MyntraFashion,#MyntraTrend"/>
    <s v="EndOfSeasonSale"/>
    <s v="MyntraFashion,"/>
    <s v="MyntraTrend"/>
  </r>
  <r>
    <s v="P123"/>
    <x v="2"/>
    <s v="2024-06-14"/>
    <s v="Story"/>
    <s v="Explore the latest story on Myntra! Trendy styles await."/>
    <n v="4363"/>
    <n v="649"/>
    <n v="140"/>
    <n v="21815"/>
    <n v="0.23616777446710979"/>
    <n v="21481"/>
    <n v="157"/>
    <s v="#MyntraSale,#MyntraFashion"/>
    <s v="EndOfSeasonSale"/>
    <s v="MyntraSale,"/>
    <s v="MyntraFashion"/>
  </r>
  <r>
    <s v="P124"/>
    <x v="1"/>
    <s v="2025-04-06"/>
    <s v="Carousel"/>
    <s v="Explore the latest carousel on Myntra! Trendy styles await."/>
    <n v="736"/>
    <n v="771"/>
    <n v="225"/>
    <n v="5152"/>
    <n v="0.33618012422360249"/>
    <n v="4706"/>
    <n v="19"/>
    <s v="#StyleWithMyntra"/>
    <s v="MyntraFestiveEdit"/>
    <s v="StyleWithMyntra"/>
    <s v="NA"/>
  </r>
  <r>
    <s v="P125"/>
    <x v="0"/>
    <s v="2024-09-08"/>
    <s v="Carousel"/>
    <s v="Explore the latest carousel on Myntra! Trendy styles await."/>
    <n v="3811"/>
    <n v="866"/>
    <n v="216"/>
    <n v="34299"/>
    <n v="0.14265722032712325"/>
    <n v="34088"/>
    <n v="233"/>
    <s v="#StyleWithMyntra"/>
    <s v="MyntraFestiveEdit"/>
    <s v="StyleWithMyntra"/>
    <s v="NA"/>
  </r>
  <r>
    <s v="P126"/>
    <x v="2"/>
    <s v="2025-03-28"/>
    <s v="Carousel"/>
    <s v="Explore the latest carousel on Myntra! Trendy styles await."/>
    <n v="4158"/>
    <n v="167"/>
    <n v="241"/>
    <n v="45738"/>
    <n v="9.9829463465827106E-2"/>
    <n v="45183"/>
    <n v="142"/>
    <s v="#MyntraFashion"/>
    <s v="EndOfSeasonSale"/>
    <s v="MyntraFashion"/>
    <s v="NA"/>
  </r>
  <r>
    <s v="P127"/>
    <x v="3"/>
    <s v="2025-01-27"/>
    <s v="Reel"/>
    <s v="Explore the latest reel on Myntra! Trendy styles await."/>
    <n v="3452"/>
    <n v="652"/>
    <n v="442"/>
    <n v="65588"/>
    <n v="6.9311459413307311E-2"/>
    <n v="65049"/>
    <n v="158"/>
    <s v="#MyntraSale,#StyleWithMyntra"/>
    <s v="FashionUpgrade"/>
    <s v="MyntraSale,"/>
    <s v="StyleWithMyntra"/>
  </r>
  <r>
    <s v="P128"/>
    <x v="0"/>
    <s v="2025-01-10"/>
    <s v="Image"/>
    <s v="Explore the latest image on Myntra! Trendy styles await."/>
    <n v="3092"/>
    <n v="106"/>
    <n v="291"/>
    <n v="27828"/>
    <n v="0.12537731780940059"/>
    <n v="27217"/>
    <n v="102"/>
    <s v="#StyleWithMyntra"/>
    <s v="StyleRevolution"/>
    <s v="StyleWithMyntra"/>
    <s v="NA"/>
  </r>
  <r>
    <s v="P129"/>
    <x v="0"/>
    <s v="2024-07-21"/>
    <s v="Text"/>
    <s v="Explore the latest text on Myntra! Trendy styles await."/>
    <n v="2147"/>
    <n v="430"/>
    <n v="393"/>
    <n v="17176"/>
    <n v="0.17291569632044715"/>
    <n v="16483"/>
    <n v="170"/>
    <s v="#FashionDeals"/>
    <s v="StyleRevolution"/>
    <s v="FashionDeals"/>
    <s v="NA"/>
  </r>
  <r>
    <s v="P130"/>
    <x v="1"/>
    <s v="2024-09-29"/>
    <s v="Reel"/>
    <s v="Explore the latest reel on Myntra! Trendy styles await."/>
    <n v="2936"/>
    <n v="439"/>
    <n v="44"/>
    <n v="38168"/>
    <n v="8.9577656675749323E-2"/>
    <n v="37571"/>
    <n v="22"/>
    <s v="#MyntraSale"/>
    <s v="MyntraFestiveEdit"/>
    <s v="MyntraSale"/>
    <s v="NA"/>
  </r>
  <r>
    <s v="P131"/>
    <x v="2"/>
    <s v="2024-10-21"/>
    <s v="Reel"/>
    <s v="Explore the latest reel on Myntra! Trendy styles await."/>
    <n v="4840"/>
    <n v="658"/>
    <n v="211"/>
    <n v="43560"/>
    <n v="0.13106060606060607"/>
    <n v="43225"/>
    <n v="57"/>
    <s v="#MyntraSale,#MyntraFashion"/>
    <s v="EndOfSeasonSale"/>
    <s v="MyntraSale,"/>
    <s v="MyntraFashion"/>
  </r>
  <r>
    <s v="P132"/>
    <x v="2"/>
    <s v="2025-03-04"/>
    <s v="Story"/>
    <s v="Explore the latest story on Myntra! Trendy styles await."/>
    <n v="1947"/>
    <n v="842"/>
    <n v="101"/>
    <n v="21417"/>
    <n v="0.13493953401503478"/>
    <n v="20967"/>
    <n v="186"/>
    <s v="#MyntraFashion"/>
    <s v="EndOfSeasonSale"/>
    <s v="MyntraFashion"/>
    <s v="NA"/>
  </r>
  <r>
    <s v="P133"/>
    <x v="3"/>
    <s v="2025-02-06"/>
    <s v="Image"/>
    <s v="Explore the latest image on Myntra! Trendy styles await."/>
    <n v="2072"/>
    <n v="532"/>
    <n v="71"/>
    <n v="37296"/>
    <n v="7.172350922350923E-2"/>
    <n v="36467"/>
    <n v="25"/>
    <s v="#MyntraSale"/>
    <s v="MyntraFestiveEdit"/>
    <s v="MyntraSale"/>
    <s v="NA"/>
  </r>
  <r>
    <s v="P134"/>
    <x v="0"/>
    <s v="2025-04-24"/>
    <s v="Reel"/>
    <s v="Explore the latest reel on Myntra! Trendy styles await."/>
    <n v="3731"/>
    <n v="115"/>
    <n v="135"/>
    <n v="55965"/>
    <n v="7.1133744304476013E-2"/>
    <n v="55436"/>
    <n v="103"/>
    <s v="#FashionDeals"/>
    <s v="StyleRevolution"/>
    <s v="FashionDeals"/>
    <s v="NA"/>
  </r>
  <r>
    <s v="P135"/>
    <x v="3"/>
    <s v="2024-11-28"/>
    <s v="Text"/>
    <s v="Explore the latest text on Myntra! Trendy styles await."/>
    <n v="4213"/>
    <n v="253"/>
    <n v="434"/>
    <n v="75834"/>
    <n v="6.461481657304112E-2"/>
    <n v="75437"/>
    <n v="272"/>
    <s v="#MyntraTrend"/>
    <s v="MyntraFestiveEdit"/>
    <s v="MyntraTrend"/>
    <s v="NA"/>
  </r>
  <r>
    <s v="P136"/>
    <x v="2"/>
    <s v="2024-07-11"/>
    <s v="Text"/>
    <s v="Explore the latest text on Myntra! Trendy styles await."/>
    <n v="3134"/>
    <n v="888"/>
    <n v="444"/>
    <n v="21938"/>
    <n v="0.20357370772176134"/>
    <n v="21337"/>
    <n v="130"/>
    <s v="#MyntraSale,#MyntraFashion"/>
    <s v="StyleRevolution"/>
    <s v="MyntraSale,"/>
    <s v="MyntraFashion"/>
  </r>
  <r>
    <s v="P137"/>
    <x v="3"/>
    <s v="2024-07-31"/>
    <s v="Video"/>
    <s v="Explore the latest video on Myntra! Trendy styles await."/>
    <n v="3008"/>
    <n v="94"/>
    <n v="37"/>
    <n v="15040"/>
    <n v="0.20871010638297871"/>
    <n v="14639"/>
    <n v="277"/>
    <s v="#FashionDeals"/>
    <s v="FashionUpgrade"/>
    <s v="FashionDeals"/>
    <s v="NA"/>
  </r>
  <r>
    <s v="P138"/>
    <x v="0"/>
    <s v="2025-03-29"/>
    <s v="Image"/>
    <s v="Explore the latest image on Myntra! Trendy styles await."/>
    <n v="305"/>
    <n v="187"/>
    <n v="243"/>
    <n v="4575"/>
    <n v="0.16065573770491803"/>
    <n v="3704"/>
    <n v="234"/>
    <s v="#MyntraFashion,#MyntraTrend"/>
    <s v="StyleRevolution"/>
    <s v="MyntraFashion,"/>
    <s v="MyntraTrend"/>
  </r>
  <r>
    <s v="P139"/>
    <x v="1"/>
    <s v="2024-10-29"/>
    <s v="Text"/>
    <s v="Explore the latest text on Myntra! Trendy styles await."/>
    <n v="2746"/>
    <n v="156"/>
    <n v="203"/>
    <n v="32952"/>
    <n v="9.422796795338674E-2"/>
    <n v="32147"/>
    <n v="147"/>
    <s v="#MyntraFashion,#StyleWithMyntra"/>
    <s v="EndOfSeasonSale"/>
    <s v="MyntraFashion,"/>
    <s v="StyleWithMyntra"/>
  </r>
  <r>
    <s v="P140"/>
    <x v="3"/>
    <s v="2024-07-15"/>
    <s v="Image"/>
    <s v="Explore the latest image on Myntra! Trendy styles await."/>
    <n v="2291"/>
    <n v="78"/>
    <n v="485"/>
    <n v="18328"/>
    <n v="0.15571802706241816"/>
    <n v="18101"/>
    <n v="10"/>
    <s v="#FashionDeals"/>
    <s v="FashionUpgrade"/>
    <s v="FashionDeals"/>
    <s v="NA"/>
  </r>
  <r>
    <s v="P141"/>
    <x v="0"/>
    <s v="2024-08-31"/>
    <s v="Image"/>
    <s v="Explore the latest image on Myntra! Trendy styles await."/>
    <n v="3170"/>
    <n v="857"/>
    <n v="379"/>
    <n v="19020"/>
    <n v="0.2316508937960042"/>
    <n v="18559"/>
    <n v="240"/>
    <s v="#MyntraSale"/>
    <s v="MyntraFestiveEdit"/>
    <s v="MyntraSale"/>
    <s v="NA"/>
  </r>
  <r>
    <s v="P142"/>
    <x v="1"/>
    <s v="2025-03-25"/>
    <s v="Story"/>
    <s v="Explore the latest story on Myntra! Trendy styles await."/>
    <n v="2070"/>
    <n v="275"/>
    <n v="386"/>
    <n v="39330"/>
    <n v="6.9438087973557078E-2"/>
    <n v="38627"/>
    <n v="114"/>
    <s v="#MyntraSale"/>
    <s v="StyleRevolution"/>
    <s v="MyntraSale"/>
    <s v="NA"/>
  </r>
  <r>
    <s v="P143"/>
    <x v="1"/>
    <s v="2024-10-02"/>
    <s v="Carousel"/>
    <s v="Explore the latest carousel on Myntra! Trendy styles await."/>
    <n v="80"/>
    <n v="362"/>
    <n v="80"/>
    <n v="1040"/>
    <n v="0.50192307692307692"/>
    <n v="349"/>
    <n v="117"/>
    <s v="#MyntraFashion,#StyleWithMyntra"/>
    <s v="EndOfSeasonSale"/>
    <s v="MyntraFashion,"/>
    <s v="StyleWithMyntra"/>
  </r>
  <r>
    <s v="P144"/>
    <x v="1"/>
    <s v="2024-10-28"/>
    <s v="Story"/>
    <s v="Explore the latest story on Myntra! Trendy styles await."/>
    <n v="4929"/>
    <n v="749"/>
    <n v="452"/>
    <n v="93651"/>
    <n v="6.5455787978772245E-2"/>
    <n v="92810"/>
    <n v="66"/>
    <s v="#MyntraTrend,#StyleWithMyntra"/>
    <s v="FashionUpgrade"/>
    <s v="MyntraTrend,"/>
    <s v="StyleWithMyntra"/>
  </r>
  <r>
    <s v="P145"/>
    <x v="2"/>
    <s v="2024-08-12"/>
    <s v="Carousel"/>
    <s v="Explore the latest carousel on Myntra! Trendy styles await."/>
    <n v="1878"/>
    <n v="62"/>
    <n v="179"/>
    <n v="37560"/>
    <n v="5.6416400425985093E-2"/>
    <n v="36874"/>
    <n v="142"/>
    <s v="#FashionDeals,#MyntraTrend"/>
    <s v="FashionUpgrade"/>
    <s v="FashionDeals,"/>
    <s v="MyntraTrend"/>
  </r>
  <r>
    <s v="P146"/>
    <x v="1"/>
    <s v="2024-06-05"/>
    <s v="Reel"/>
    <s v="Explore the latest reel on Myntra! Trendy styles await."/>
    <n v="3065"/>
    <n v="772"/>
    <n v="142"/>
    <n v="18390"/>
    <n v="0.21636759108210984"/>
    <n v="17875"/>
    <n v="200"/>
    <s v="#StyleWithMyntra"/>
    <s v="FashionUpgrade"/>
    <s v="StyleWithMyntra"/>
    <s v="NA"/>
  </r>
  <r>
    <s v="P147"/>
    <x v="2"/>
    <s v="2024-10-21"/>
    <s v="Reel"/>
    <s v="Explore the latest reel on Myntra! Trendy styles await."/>
    <n v="3256"/>
    <n v="459"/>
    <n v="266"/>
    <n v="26048"/>
    <n v="0.15283323095823095"/>
    <n v="25529"/>
    <n v="143"/>
    <s v="#MyntraSale,#StyleWithMyntra"/>
    <s v="MyntraFestiveEdit"/>
    <s v="MyntraSale,"/>
    <s v="StyleWithMyntra"/>
  </r>
  <r>
    <s v="P148"/>
    <x v="2"/>
    <s v="2025-04-15"/>
    <s v="Video"/>
    <s v="Explore the latest video on Myntra! Trendy styles await."/>
    <n v="4133"/>
    <n v="466"/>
    <n v="327"/>
    <n v="24798"/>
    <n v="0.19864505202032423"/>
    <n v="24620"/>
    <n v="176"/>
    <s v="#StyleWithMyntra"/>
    <s v="EndOfSeasonSale"/>
    <s v="StyleWithMyntra"/>
    <s v="NA"/>
  </r>
  <r>
    <s v="P149"/>
    <x v="0"/>
    <s v="2024-06-16"/>
    <s v="Video"/>
    <s v="Explore the latest video on Myntra! Trendy styles await."/>
    <n v="1702"/>
    <n v="750"/>
    <n v="179"/>
    <n v="34040"/>
    <n v="7.7291421856639245E-2"/>
    <n v="33174"/>
    <n v="76"/>
    <s v="#MyntraTrend"/>
    <s v="MyntraFestiveEdit"/>
    <s v="MyntraTrend"/>
    <s v="NA"/>
  </r>
  <r>
    <s v="P150"/>
    <x v="1"/>
    <s v="2024-08-22"/>
    <s v="Carousel"/>
    <s v="Explore the latest carousel on Myntra! Trendy styles await."/>
    <n v="4295"/>
    <n v="853"/>
    <n v="325"/>
    <n v="85900"/>
    <n v="6.3713620488940623E-2"/>
    <n v="85788"/>
    <n v="290"/>
    <s v="#MyntraTrend,#MyntraSale"/>
    <s v="EndOfSeasonSale"/>
    <s v="MyntraTrend,"/>
    <s v="MyntraSale"/>
  </r>
  <r>
    <s v="P151"/>
    <x v="2"/>
    <s v="2024-07-26"/>
    <s v="Image"/>
    <s v="Explore the latest image on Myntra! Trendy styles await."/>
    <n v="3559"/>
    <n v="59"/>
    <n v="289"/>
    <n v="35590"/>
    <n v="0.10977802753582468"/>
    <n v="35105"/>
    <n v="122"/>
    <s v="#MyntraTrend,#StyleWithMyntra"/>
    <s v="MyntraFestiveEdit"/>
    <s v="MyntraTrend,"/>
    <s v="StyleWithMyntra"/>
  </r>
  <r>
    <s v="P152"/>
    <x v="3"/>
    <s v="2025-04-22"/>
    <s v="Image"/>
    <s v="Explore the latest image on Myntra! Trendy styles await."/>
    <n v="4804"/>
    <n v="550"/>
    <n v="270"/>
    <n v="28824"/>
    <n v="0.19511518179295032"/>
    <n v="28370"/>
    <n v="47"/>
    <s v="#MyntraSale,#StyleWithMyntra"/>
    <s v="StyleRevolution"/>
    <s v="MyntraSale,"/>
    <s v="StyleWithMyntra"/>
  </r>
  <r>
    <s v="P153"/>
    <x v="0"/>
    <s v="2025-01-01"/>
    <s v="Video"/>
    <s v="Explore the latest video on Myntra! Trendy styles await."/>
    <n v="754"/>
    <n v="197"/>
    <n v="257"/>
    <n v="6786"/>
    <n v="0.17801355732390214"/>
    <n v="6221"/>
    <n v="212"/>
    <s v="#FashionDeals,#MyntraTrend"/>
    <s v="MyntraFestiveEdit"/>
    <s v="FashionDeals,"/>
    <s v="MyntraTrend"/>
  </r>
  <r>
    <s v="P154"/>
    <x v="2"/>
    <s v="2024-10-09"/>
    <s v="Carousel"/>
    <s v="Explore the latest carousel on Myntra! Trendy styles await."/>
    <n v="985"/>
    <n v="932"/>
    <n v="287"/>
    <n v="6895"/>
    <n v="0.31965192168237855"/>
    <n v="6757"/>
    <n v="64"/>
    <s v="#MyntraSale,#MyntraFashion"/>
    <s v="EndOfSeasonSale"/>
    <s v="MyntraSale,"/>
    <s v="MyntraFashion"/>
  </r>
  <r>
    <s v="P155"/>
    <x v="1"/>
    <s v="2024-12-21"/>
    <s v="Image"/>
    <s v="Explore the latest image on Myntra! Trendy styles await."/>
    <n v="2283"/>
    <n v="210"/>
    <n v="130"/>
    <n v="22830"/>
    <n v="0.11489268506351293"/>
    <n v="22617"/>
    <n v="143"/>
    <s v="#MyntraFashion,#StyleWithMyntra"/>
    <s v="MyntraFestiveEdit"/>
    <s v="MyntraFashion,"/>
    <s v="StyleWithMyntra"/>
  </r>
  <r>
    <s v="P156"/>
    <x v="3"/>
    <s v="2024-10-22"/>
    <s v="Carousel"/>
    <s v="Explore the latest carousel on Myntra! Trendy styles await."/>
    <n v="3352"/>
    <n v="941"/>
    <n v="482"/>
    <n v="43576"/>
    <n v="0.1095786671562328"/>
    <n v="43338"/>
    <n v="240"/>
    <s v="#MyntraTrend"/>
    <s v="MyntraFestiveEdit"/>
    <s v="MyntraTrend"/>
    <s v="NA"/>
  </r>
  <r>
    <s v="P157"/>
    <x v="1"/>
    <s v="2024-07-23"/>
    <s v="Story"/>
    <s v="Explore the latest story on Myntra! Trendy styles await."/>
    <n v="4775"/>
    <n v="173"/>
    <n v="206"/>
    <n v="47750"/>
    <n v="0.10793717277486911"/>
    <n v="47544"/>
    <n v="187"/>
    <s v="#StyleWithMyntra,#MyntraTrend"/>
    <s v="StyleRevolution"/>
    <s v="StyleWithMyntra,"/>
    <s v="MyntraTrend"/>
  </r>
  <r>
    <s v="P158"/>
    <x v="2"/>
    <s v="2024-08-11"/>
    <s v="Story"/>
    <s v="Explore the latest story on Myntra! Trendy styles await."/>
    <n v="1762"/>
    <n v="405"/>
    <n v="423"/>
    <n v="22906"/>
    <n v="0.11307081114118571"/>
    <n v="21925"/>
    <n v="25"/>
    <s v="#FashionDeals"/>
    <s v="EndOfSeasonSale"/>
    <s v="FashionDeals"/>
    <s v="NA"/>
  </r>
  <r>
    <s v="P159"/>
    <x v="3"/>
    <s v="2024-11-25"/>
    <s v="Story"/>
    <s v="Explore the latest story on Myntra! Trendy styles await."/>
    <n v="2120"/>
    <n v="158"/>
    <n v="488"/>
    <n v="12720"/>
    <n v="0.21745283018867925"/>
    <n v="12085"/>
    <n v="17"/>
    <s v="#StyleWithMyntra,#MyntraTrend"/>
    <s v="EndOfSeasonSale"/>
    <s v="StyleWithMyntra,"/>
    <s v="MyntraTrend"/>
  </r>
  <r>
    <s v="P160"/>
    <x v="0"/>
    <s v="2024-08-24"/>
    <s v="Video"/>
    <s v="Explore the latest video on Myntra! Trendy styles await."/>
    <n v="1082"/>
    <n v="209"/>
    <n v="484"/>
    <n v="19476"/>
    <n v="9.1137810638734856E-2"/>
    <n v="18654"/>
    <n v="20"/>
    <s v="#StyleWithMyntra"/>
    <s v="StyleRevolution"/>
    <s v="StyleWithMyntra"/>
    <s v="NA"/>
  </r>
  <r>
    <s v="P161"/>
    <x v="0"/>
    <s v="2025-02-19"/>
    <s v="Text"/>
    <s v="Explore the latest text on Myntra! Trendy styles await."/>
    <n v="4671"/>
    <n v="876"/>
    <n v="366"/>
    <n v="51381"/>
    <n v="0.11508145034156594"/>
    <n v="50565"/>
    <n v="245"/>
    <s v="#MyntraSale"/>
    <s v="EndOfSeasonSale"/>
    <s v="MyntraSale"/>
    <s v="NA"/>
  </r>
  <r>
    <s v="P162"/>
    <x v="3"/>
    <s v="2025-04-01"/>
    <s v="Story"/>
    <s v="Explore the latest story on Myntra! Trendy styles await."/>
    <n v="3430"/>
    <n v="566"/>
    <n v="164"/>
    <n v="48020"/>
    <n v="8.6630570595585168E-2"/>
    <n v="47305"/>
    <n v="120"/>
    <s v="#MyntraTrend"/>
    <s v="EndOfSeasonSale"/>
    <s v="MyntraTrend"/>
    <s v="NA"/>
  </r>
  <r>
    <s v="P163"/>
    <x v="2"/>
    <s v="2025-04-08"/>
    <s v="Image"/>
    <s v="Explore the latest image on Myntra! Trendy styles await."/>
    <n v="4501"/>
    <n v="375"/>
    <n v="323"/>
    <n v="22505"/>
    <n v="0.23101532992668297"/>
    <n v="21836"/>
    <n v="132"/>
    <s v="#MyntraFashion"/>
    <s v="StyleRevolution"/>
    <s v="MyntraFashion"/>
    <s v="NA"/>
  </r>
  <r>
    <s v="P164"/>
    <x v="1"/>
    <s v="2025-02-27"/>
    <s v="Text"/>
    <s v="Explore the latest text on Myntra! Trendy styles await."/>
    <n v="4934"/>
    <n v="971"/>
    <n v="156"/>
    <n v="39472"/>
    <n v="0.15355188488042157"/>
    <n v="39025"/>
    <n v="169"/>
    <s v="#FashionDeals,#StyleWithMyntra"/>
    <s v="EndOfSeasonSale"/>
    <s v="FashionDeals,"/>
    <s v="StyleWithMyntra"/>
  </r>
  <r>
    <s v="P165"/>
    <x v="0"/>
    <s v="2024-12-11"/>
    <s v="Text"/>
    <s v="Explore the latest text on Myntra! Trendy styles await."/>
    <n v="3239"/>
    <n v="43"/>
    <n v="211"/>
    <n v="22673"/>
    <n v="0.15405989502933004"/>
    <n v="22171"/>
    <n v="230"/>
    <s v="#MyntraTrend,#StyleWithMyntra"/>
    <s v="EndOfSeasonSale"/>
    <s v="MyntraTrend,"/>
    <s v="StyleWithMyntra"/>
  </r>
  <r>
    <s v="P166"/>
    <x v="0"/>
    <s v="2025-02-16"/>
    <s v="Reel"/>
    <s v="Explore the latest reel on Myntra! Trendy styles await."/>
    <n v="1076"/>
    <n v="313"/>
    <n v="306"/>
    <n v="11836"/>
    <n v="0.14320716458262928"/>
    <n v="11596"/>
    <n v="104"/>
    <s v="#FashionDeals"/>
    <s v="EndOfSeasonSale"/>
    <s v="FashionDeals"/>
    <s v="NA"/>
  </r>
  <r>
    <s v="P167"/>
    <x v="2"/>
    <s v="2024-11-28"/>
    <s v="Text"/>
    <s v="Explore the latest text on Myntra! Trendy styles await."/>
    <n v="4771"/>
    <n v="818"/>
    <n v="56"/>
    <n v="57252"/>
    <n v="9.859917557465242E-2"/>
    <n v="56378"/>
    <n v="150"/>
    <s v="#MyntraSale"/>
    <s v="EndOfSeasonSale"/>
    <s v="MyntraSale"/>
    <s v="NA"/>
  </r>
  <r>
    <s v="P168"/>
    <x v="3"/>
    <s v="2024-11-12"/>
    <s v="Text"/>
    <s v="Explore the latest text on Myntra! Trendy styles await."/>
    <n v="2418"/>
    <n v="754"/>
    <n v="54"/>
    <n v="43524"/>
    <n v="7.412002573292896E-2"/>
    <n v="42743"/>
    <n v="182"/>
    <s v="#MyntraFashion,#MyntraTrend"/>
    <s v="StyleRevolution"/>
    <s v="MyntraFashion,"/>
    <s v="MyntraTrend"/>
  </r>
  <r>
    <s v="P169"/>
    <x v="1"/>
    <s v="2024-12-03"/>
    <s v="Video"/>
    <s v="Explore the latest video on Myntra! Trendy styles await."/>
    <n v="3809"/>
    <n v="273"/>
    <n v="200"/>
    <n v="34281"/>
    <n v="0.12490884163239112"/>
    <n v="33534"/>
    <n v="83"/>
    <s v="#MyntraTrend"/>
    <s v="MyntraFestiveEdit"/>
    <s v="MyntraTrend"/>
    <s v="NA"/>
  </r>
  <r>
    <s v="P170"/>
    <x v="0"/>
    <s v="2025-04-28"/>
    <s v="Text"/>
    <s v="Explore the latest text on Myntra! Trendy styles await."/>
    <n v="3577"/>
    <n v="596"/>
    <n v="493"/>
    <n v="67963"/>
    <n v="6.8655003457763777E-2"/>
    <n v="67839"/>
    <n v="53"/>
    <s v="#StyleWithMyntra,#MyntraTrend"/>
    <s v="StyleRevolution"/>
    <s v="StyleWithMyntra,"/>
    <s v="MyntraTrend"/>
  </r>
  <r>
    <s v="P171"/>
    <x v="1"/>
    <s v="2024-12-31"/>
    <s v="Video"/>
    <s v="Explore the latest video on Myntra! Trendy styles await."/>
    <n v="1018"/>
    <n v="447"/>
    <n v="332"/>
    <n v="18324"/>
    <n v="9.8068107400130972E-2"/>
    <n v="18164"/>
    <n v="38"/>
    <s v="#MyntraSale,#MyntraFashion"/>
    <s v="StyleRevolution"/>
    <s v="MyntraSale,"/>
    <s v="MyntraFashion"/>
  </r>
  <r>
    <s v="P172"/>
    <x v="3"/>
    <s v="2024-08-14"/>
    <s v="Carousel"/>
    <s v="Explore the latest carousel on Myntra! Trendy styles await."/>
    <n v="3073"/>
    <n v="553"/>
    <n v="174"/>
    <n v="52241"/>
    <n v="7.2739802071170159E-2"/>
    <n v="51605"/>
    <n v="246"/>
    <s v="#MyntraFashion,#StyleWithMyntra"/>
    <s v="StyleRevolution"/>
    <s v="MyntraFashion,"/>
    <s v="StyleWithMyntra"/>
  </r>
  <r>
    <s v="P173"/>
    <x v="0"/>
    <s v="2024-12-05"/>
    <s v="Video"/>
    <s v="Explore the latest video on Myntra! Trendy styles await."/>
    <n v="1330"/>
    <n v="925"/>
    <n v="35"/>
    <n v="15960"/>
    <n v="0.14348370927318296"/>
    <n v="15379"/>
    <n v="229"/>
    <s v="#FashionDeals,#MyntraTrend"/>
    <s v="StyleRevolution"/>
    <s v="FashionDeals,"/>
    <s v="MyntraTrend"/>
  </r>
  <r>
    <s v="P174"/>
    <x v="3"/>
    <s v="2024-06-22"/>
    <s v="Text"/>
    <s v="Explore the latest text on Myntra! Trendy styles await."/>
    <n v="3828"/>
    <n v="148"/>
    <n v="253"/>
    <n v="30624"/>
    <n v="0.13809430512016718"/>
    <n v="30229"/>
    <n v="235"/>
    <s v="#MyntraSale,#StyleWithMyntra"/>
    <s v="StyleRevolution"/>
    <s v="MyntraSale,"/>
    <s v="StyleWithMyntra"/>
  </r>
  <r>
    <s v="P175"/>
    <x v="2"/>
    <s v="2025-01-17"/>
    <s v="Reel"/>
    <s v="Explore the latest reel on Myntra! Trendy styles await."/>
    <n v="142"/>
    <n v="784"/>
    <n v="183"/>
    <n v="1704"/>
    <n v="0.6508215962441315"/>
    <n v="995"/>
    <n v="154"/>
    <s v="#MyntraSale"/>
    <s v="FashionUpgrade"/>
    <s v="MyntraSale"/>
    <s v="NA"/>
  </r>
  <r>
    <s v="P176"/>
    <x v="3"/>
    <s v="2024-06-20"/>
    <s v="Video"/>
    <s v="Explore the latest video on Myntra! Trendy styles await."/>
    <n v="3798"/>
    <n v="31"/>
    <n v="279"/>
    <n v="75960"/>
    <n v="5.4081095313322801E-2"/>
    <n v="75813"/>
    <n v="266"/>
    <s v="#MyntraFashion"/>
    <s v="EndOfSeasonSale"/>
    <s v="MyntraFashion"/>
    <s v="NA"/>
  </r>
  <r>
    <s v="P177"/>
    <x v="2"/>
    <s v="2024-07-10"/>
    <s v="Carousel"/>
    <s v="Explore the latest carousel on Myntra! Trendy styles await."/>
    <n v="3099"/>
    <n v="694"/>
    <n v="171"/>
    <n v="43386"/>
    <n v="9.1365878393951966E-2"/>
    <n v="42921"/>
    <n v="52"/>
    <s v="#FashionDeals"/>
    <s v="StyleRevolution"/>
    <s v="FashionDeals"/>
    <s v="NA"/>
  </r>
  <r>
    <s v="P178"/>
    <x v="2"/>
    <s v="2024-11-07"/>
    <s v="Video"/>
    <s v="Explore the latest video on Myntra! Trendy styles await."/>
    <n v="129"/>
    <n v="643"/>
    <n v="136"/>
    <n v="1290"/>
    <n v="0.70387596899224802"/>
    <n v="839"/>
    <n v="238"/>
    <s v="#StyleWithMyntra,#FashionDeals"/>
    <s v="StyleRevolution"/>
    <s v="StyleWithMyntra,"/>
    <s v="FashionDeals"/>
  </r>
  <r>
    <s v="P179"/>
    <x v="3"/>
    <s v="2024-07-15"/>
    <s v="Carousel"/>
    <s v="Explore the latest carousel on Myntra! Trendy styles await."/>
    <n v="3796"/>
    <n v="667"/>
    <n v="395"/>
    <n v="64532"/>
    <n v="7.5280481001673588E-2"/>
    <n v="63550"/>
    <n v="292"/>
    <s v="#StyleWithMyntra"/>
    <s v="FashionUpgrade"/>
    <s v="StyleWithMyntra"/>
    <s v="NA"/>
  </r>
  <r>
    <s v="P180"/>
    <x v="1"/>
    <s v="2024-12-03"/>
    <s v="Text"/>
    <s v="Explore the latest text on Myntra! Trendy styles await."/>
    <n v="3711"/>
    <n v="352"/>
    <n v="290"/>
    <n v="48243"/>
    <n v="9.023070704558174E-2"/>
    <n v="47579"/>
    <n v="11"/>
    <s v="#StyleWithMyntra,#FashionDeals"/>
    <s v="StyleRevolution"/>
    <s v="StyleWithMyntra,"/>
    <s v="FashionDeals"/>
  </r>
  <r>
    <s v="P181"/>
    <x v="1"/>
    <s v="2025-03-21"/>
    <s v="Image"/>
    <s v="Explore the latest image on Myntra! Trendy styles await."/>
    <n v="606"/>
    <n v="789"/>
    <n v="470"/>
    <n v="7878"/>
    <n v="0.23673521198273673"/>
    <n v="7389"/>
    <n v="239"/>
    <s v="#MyntraSale"/>
    <s v="EndOfSeasonSale"/>
    <s v="MyntraSale"/>
    <s v="NA"/>
  </r>
  <r>
    <s v="P182"/>
    <x v="3"/>
    <s v="2024-07-31"/>
    <s v="Image"/>
    <s v="Explore the latest image on Myntra! Trendy styles await."/>
    <n v="4689"/>
    <n v="134"/>
    <n v="403"/>
    <n v="51579"/>
    <n v="0.10132030477519921"/>
    <n v="50924"/>
    <n v="173"/>
    <s v="#FashionDeals"/>
    <s v="FashionUpgrade"/>
    <s v="FashionDeals"/>
    <s v="NA"/>
  </r>
  <r>
    <s v="P183"/>
    <x v="2"/>
    <s v="2024-12-17"/>
    <s v="Story"/>
    <s v="Explore the latest story on Myntra! Trendy styles await."/>
    <n v="360"/>
    <n v="590"/>
    <n v="393"/>
    <n v="4680"/>
    <n v="0.28696581196581195"/>
    <n v="4322"/>
    <n v="208"/>
    <s v="#StyleWithMyntra,#FashionDeals"/>
    <s v="EndOfSeasonSale"/>
    <s v="StyleWithMyntra,"/>
    <s v="FashionDeals"/>
  </r>
  <r>
    <s v="P184"/>
    <x v="0"/>
    <s v="2024-07-28"/>
    <s v="Image"/>
    <s v="Explore the latest image on Myntra! Trendy styles await."/>
    <n v="3215"/>
    <n v="960"/>
    <n v="202"/>
    <n v="32150"/>
    <n v="0.13614307931570763"/>
    <n v="31404"/>
    <n v="251"/>
    <s v="#StyleWithMyntra"/>
    <s v="MyntraFestiveEdit"/>
    <s v="StyleWithMyntra"/>
    <s v="NA"/>
  </r>
  <r>
    <s v="P185"/>
    <x v="2"/>
    <s v="2025-01-11"/>
    <s v="Carousel"/>
    <s v="Explore the latest carousel on Myntra! Trendy styles await."/>
    <n v="4523"/>
    <n v="61"/>
    <n v="157"/>
    <n v="49753"/>
    <n v="9.5290736237010829E-2"/>
    <n v="49329"/>
    <n v="71"/>
    <s v="#MyntraSale,#MyntraTrend"/>
    <s v="StyleRevolution"/>
    <s v="MyntraSale,"/>
    <s v="MyntraTrend"/>
  </r>
  <r>
    <s v="P186"/>
    <x v="3"/>
    <s v="2024-08-24"/>
    <s v="Carousel"/>
    <s v="Explore the latest carousel on Myntra! Trendy styles await."/>
    <n v="4292"/>
    <n v="51"/>
    <n v="392"/>
    <n v="55796"/>
    <n v="8.4862714173059003E-2"/>
    <n v="54826"/>
    <n v="264"/>
    <s v="#MyntraTrend,#StyleWithMyntra"/>
    <s v="FashionUpgrade"/>
    <s v="MyntraTrend,"/>
    <s v="StyleWithMyntra"/>
  </r>
  <r>
    <s v="P187"/>
    <x v="0"/>
    <s v="2024-12-22"/>
    <s v="Reel"/>
    <s v="Explore the latest reel on Myntra! Trendy styles await."/>
    <n v="1644"/>
    <n v="546"/>
    <n v="150"/>
    <n v="27948"/>
    <n v="8.3726921425504502E-2"/>
    <n v="27184"/>
    <n v="300"/>
    <s v="#MyntraSale,#MyntraTrend"/>
    <s v="FashionUpgrade"/>
    <s v="MyntraSale,"/>
    <s v="MyntraTrend"/>
  </r>
  <r>
    <s v="P188"/>
    <x v="1"/>
    <s v="2024-06-06"/>
    <s v="Reel"/>
    <s v="Explore the latest reel on Myntra! Trendy styles await."/>
    <n v="2728"/>
    <n v="533"/>
    <n v="215"/>
    <n v="40920"/>
    <n v="8.4946236559139784E-2"/>
    <n v="40816"/>
    <n v="137"/>
    <s v="#MyntraSale"/>
    <s v="EndOfSeasonSale"/>
    <s v="MyntraSale"/>
    <s v="NA"/>
  </r>
  <r>
    <s v="P189"/>
    <x v="3"/>
    <s v="2025-03-24"/>
    <s v="Reel"/>
    <s v="Explore the latest reel on Myntra! Trendy styles await."/>
    <n v="3360"/>
    <n v="525"/>
    <n v="500"/>
    <n v="60480"/>
    <n v="7.2503306878306875E-2"/>
    <n v="59610"/>
    <n v="192"/>
    <s v="#MyntraSale,#StyleWithMyntra"/>
    <s v="FashionUpgrade"/>
    <s v="MyntraSale,"/>
    <s v="StyleWithMyntra"/>
  </r>
  <r>
    <s v="P190"/>
    <x v="1"/>
    <s v="2024-10-04"/>
    <s v="Text"/>
    <s v="Explore the latest text on Myntra! Trendy styles await."/>
    <n v="1963"/>
    <n v="213"/>
    <n v="19"/>
    <n v="39260"/>
    <n v="5.5909322465613857E-2"/>
    <n v="38771"/>
    <n v="145"/>
    <s v="#StyleWithMyntra"/>
    <s v="FashionUpgrade"/>
    <s v="StyleWithMyntra"/>
    <s v="NA"/>
  </r>
  <r>
    <s v="P191"/>
    <x v="1"/>
    <s v="2024-12-03"/>
    <s v="Story"/>
    <s v="Explore the latest story on Myntra! Trendy styles await."/>
    <n v="4285"/>
    <n v="886"/>
    <n v="376"/>
    <n v="55705"/>
    <n v="9.9578134817341346E-2"/>
    <n v="55556"/>
    <n v="51"/>
    <s v="#MyntraFashion,#FashionDeals"/>
    <s v="StyleRevolution"/>
    <s v="MyntraFashion,"/>
    <s v="FashionDeals"/>
  </r>
  <r>
    <s v="P192"/>
    <x v="2"/>
    <s v="2024-11-29"/>
    <s v="Video"/>
    <s v="Explore the latest video on Myntra! Trendy styles await."/>
    <n v="1176"/>
    <n v="464"/>
    <n v="394"/>
    <n v="14112"/>
    <n v="0.1441326530612245"/>
    <n v="13588"/>
    <n v="272"/>
    <s v="#FashionDeals"/>
    <s v="FashionUpgrade"/>
    <s v="FashionDeals"/>
    <s v="NA"/>
  </r>
  <r>
    <s v="P193"/>
    <x v="0"/>
    <s v="2024-09-11"/>
    <s v="Image"/>
    <s v="Explore the latest image on Myntra! Trendy styles await."/>
    <n v="4858"/>
    <n v="317"/>
    <n v="129"/>
    <n v="53438"/>
    <n v="9.9255211647142488E-2"/>
    <n v="52687"/>
    <n v="223"/>
    <s v="#FashionDeals,#MyntraTrend"/>
    <s v="FashionUpgrade"/>
    <s v="FashionDeals,"/>
    <s v="MyntraTrend"/>
  </r>
  <r>
    <s v="P194"/>
    <x v="1"/>
    <s v="2024-10-02"/>
    <s v="Story"/>
    <s v="Explore the latest story on Myntra! Trendy styles await."/>
    <n v="4350"/>
    <n v="771"/>
    <n v="7"/>
    <n v="60900"/>
    <n v="8.4203612479474554E-2"/>
    <n v="60592"/>
    <n v="195"/>
    <s v="#FashionDeals,#StyleWithMyntra"/>
    <s v="EndOfSeasonSale"/>
    <s v="FashionDeals,"/>
    <s v="StyleWithMyntra"/>
  </r>
  <r>
    <s v="P195"/>
    <x v="2"/>
    <s v="2024-08-15"/>
    <s v="Carousel"/>
    <s v="Explore the latest carousel on Myntra! Trendy styles await."/>
    <n v="914"/>
    <n v="464"/>
    <n v="246"/>
    <n v="11882"/>
    <n v="0.13667732704931829"/>
    <n v="11500"/>
    <n v="282"/>
    <s v="#MyntraFashion,#MyntraTrend"/>
    <s v="MyntraFestiveEdit"/>
    <s v="MyntraFashion,"/>
    <s v="MyntraTrend"/>
  </r>
  <r>
    <s v="P196"/>
    <x v="2"/>
    <s v="2024-12-19"/>
    <s v="Text"/>
    <s v="Explore the latest text on Myntra! Trendy styles await."/>
    <n v="1813"/>
    <n v="623"/>
    <n v="72"/>
    <n v="19943"/>
    <n v="0.12575841147269717"/>
    <n v="18959"/>
    <n v="85"/>
    <s v="#MyntraTrend,#MyntraFashion"/>
    <s v="MyntraFestiveEdit"/>
    <s v="MyntraTrend,"/>
    <s v="MyntraFashion"/>
  </r>
  <r>
    <s v="P197"/>
    <x v="0"/>
    <s v="2024-10-22"/>
    <s v="Reel"/>
    <s v="Explore the latest reel on Myntra! Trendy styles await."/>
    <n v="4782"/>
    <n v="721"/>
    <n v="82"/>
    <n v="86076"/>
    <n v="6.4884520656164318E-2"/>
    <n v="85339"/>
    <n v="19"/>
    <s v="#FashionDeals"/>
    <s v="EndOfSeasonSale"/>
    <s v="FashionDeals"/>
    <s v="NA"/>
  </r>
  <r>
    <s v="P198"/>
    <x v="0"/>
    <s v="2024-09-14"/>
    <s v="Image"/>
    <s v="Explore the latest image on Myntra! Trendy styles await."/>
    <n v="1048"/>
    <n v="374"/>
    <n v="450"/>
    <n v="9432"/>
    <n v="0.19847328244274809"/>
    <n v="8882"/>
    <n v="158"/>
    <s v="#MyntraTrend,#MyntraSale"/>
    <s v="EndOfSeasonSale"/>
    <s v="MyntraTrend,"/>
    <s v="MyntraSale"/>
  </r>
  <r>
    <s v="P199"/>
    <x v="1"/>
    <s v="2024-11-30"/>
    <s v="Carousel"/>
    <s v="Explore the latest carousel on Myntra! Trendy styles await."/>
    <n v="2509"/>
    <n v="324"/>
    <n v="171"/>
    <n v="35126"/>
    <n v="8.5520696919660646E-2"/>
    <n v="34685"/>
    <n v="277"/>
    <s v="#FashionDeals"/>
    <s v="EndOfSeasonSale"/>
    <s v="FashionDeals"/>
    <s v="NA"/>
  </r>
  <r>
    <s v="P200"/>
    <x v="3"/>
    <s v="2025-04-07"/>
    <s v="Reel"/>
    <s v="Explore the latest reel on Myntra! Trendy styles await."/>
    <n v="3718"/>
    <n v="385"/>
    <n v="310"/>
    <n v="70642"/>
    <n v="6.246991874522239E-2"/>
    <n v="69749"/>
    <n v="233"/>
    <s v="#MyntraTrend"/>
    <s v="FashionUpgrade"/>
    <s v="MyntraTrend"/>
    <s v="NA"/>
  </r>
  <r>
    <s v="P201"/>
    <x v="0"/>
    <s v="2025-01-15"/>
    <s v="Reel"/>
    <s v="Explore the latest reel on Myntra! Trendy styles await."/>
    <n v="802"/>
    <n v="262"/>
    <n v="244"/>
    <n v="14436"/>
    <n v="9.0606816292601824E-2"/>
    <n v="14280"/>
    <n v="49"/>
    <s v="#MyntraSale,#FashionDeals"/>
    <s v="StyleRevolution"/>
    <s v="MyntraSale,"/>
    <s v="FashionDeals"/>
  </r>
  <r>
    <s v="P202"/>
    <x v="3"/>
    <s v="2024-06-02"/>
    <s v="Image"/>
    <s v="Explore the latest image on Myntra! Trendy styles await."/>
    <n v="1871"/>
    <n v="252"/>
    <n v="335"/>
    <n v="29936"/>
    <n v="8.2108498129342594E-2"/>
    <n v="29576"/>
    <n v="288"/>
    <s v="#MyntraTrend"/>
    <s v="EndOfSeasonSale"/>
    <s v="MyntraTrend"/>
    <s v="NA"/>
  </r>
  <r>
    <s v="P203"/>
    <x v="2"/>
    <s v="2024-11-21"/>
    <s v="Carousel"/>
    <s v="Explore the latest carousel on Myntra! Trendy styles await."/>
    <n v="3773"/>
    <n v="299"/>
    <n v="38"/>
    <n v="71687"/>
    <n v="5.7332570758993957E-2"/>
    <n v="71447"/>
    <n v="286"/>
    <s v="#MyntraTrend"/>
    <s v="StyleRevolution"/>
    <s v="MyntraTrend"/>
    <s v="NA"/>
  </r>
  <r>
    <s v="P204"/>
    <x v="2"/>
    <s v="2025-01-01"/>
    <s v="Carousel"/>
    <s v="Explore the latest carousel on Myntra! Trendy styles await."/>
    <n v="2234"/>
    <n v="653"/>
    <n v="432"/>
    <n v="11170"/>
    <n v="0.29713518352730528"/>
    <n v="10569"/>
    <n v="198"/>
    <s v="#FashionDeals,#StyleWithMyntra"/>
    <s v="StyleRevolution"/>
    <s v="FashionDeals,"/>
    <s v="StyleWithMyntra"/>
  </r>
  <r>
    <s v="P205"/>
    <x v="0"/>
    <s v="2025-04-24"/>
    <s v="Video"/>
    <s v="Explore the latest video on Myntra! Trendy styles await."/>
    <n v="3820"/>
    <n v="697"/>
    <n v="268"/>
    <n v="45840"/>
    <n v="0.1043848167539267"/>
    <n v="45631"/>
    <n v="171"/>
    <s v="#StyleWithMyntra,#FashionDeals"/>
    <s v="FashionUpgrade"/>
    <s v="StyleWithMyntra,"/>
    <s v="FashionDeals"/>
  </r>
  <r>
    <s v="P206"/>
    <x v="0"/>
    <s v="2024-06-24"/>
    <s v="Text"/>
    <s v="Explore the latest text on Myntra! Trendy styles await."/>
    <n v="941"/>
    <n v="121"/>
    <n v="458"/>
    <n v="14115"/>
    <n v="0.10768685795253277"/>
    <n v="13838"/>
    <n v="87"/>
    <s v="#MyntraFashion,#MyntraSale"/>
    <s v="EndOfSeasonSale"/>
    <s v="MyntraFashion,"/>
    <s v="MyntraSale"/>
  </r>
  <r>
    <s v="P207"/>
    <x v="0"/>
    <s v="2024-12-29"/>
    <s v="Carousel"/>
    <s v="Explore the latest carousel on Myntra! Trendy styles await."/>
    <n v="4274"/>
    <n v="340"/>
    <n v="281"/>
    <n v="34192"/>
    <n v="0.14316214319138981"/>
    <n v="33446"/>
    <n v="129"/>
    <s v="#StyleWithMyntra,#FashionDeals"/>
    <s v="MyntraFestiveEdit"/>
    <s v="StyleWithMyntra,"/>
    <s v="FashionDeals"/>
  </r>
  <r>
    <s v="P208"/>
    <x v="1"/>
    <s v="2024-06-24"/>
    <s v="Video"/>
    <s v="Explore the latest video on Myntra! Trendy styles await."/>
    <n v="2949"/>
    <n v="476"/>
    <n v="403"/>
    <n v="44235"/>
    <n v="8.6537809426924378E-2"/>
    <n v="43705"/>
    <n v="135"/>
    <s v="#MyntraTrend,#FashionDeals"/>
    <s v="FashionUpgrade"/>
    <s v="MyntraTrend,"/>
    <s v="FashionDeals"/>
  </r>
  <r>
    <s v="P209"/>
    <x v="0"/>
    <s v="2025-03-19"/>
    <s v="Video"/>
    <s v="Explore the latest video on Myntra! Trendy styles await."/>
    <n v="3160"/>
    <n v="204"/>
    <n v="297"/>
    <n v="44240"/>
    <n v="8.2753164556962022E-2"/>
    <n v="43666"/>
    <n v="49"/>
    <s v="#StyleWithMyntra,#MyntraTrend"/>
    <s v="FashionUpgrade"/>
    <s v="StyleWithMyntra,"/>
    <s v="MyntraTrend"/>
  </r>
  <r>
    <s v="P210"/>
    <x v="1"/>
    <s v="2025-02-19"/>
    <s v="Image"/>
    <s v="Explore the latest image on Myntra! Trendy styles await."/>
    <n v="257"/>
    <n v="966"/>
    <n v="398"/>
    <n v="3341"/>
    <n v="0.48518407662376534"/>
    <n v="2753"/>
    <n v="287"/>
    <s v="#MyntraTrend,#MyntraSale"/>
    <s v="FashionUpgrade"/>
    <s v="MyntraTrend,"/>
    <s v="MyntraSale"/>
  </r>
  <r>
    <s v="P211"/>
    <x v="0"/>
    <s v="2024-07-18"/>
    <s v="Carousel"/>
    <s v="Explore the latest carousel on Myntra! Trendy styles await."/>
    <n v="2120"/>
    <n v="38"/>
    <n v="212"/>
    <n v="12720"/>
    <n v="0.18632075471698112"/>
    <n v="12564"/>
    <n v="21"/>
    <s v="#MyntraTrend,#MyntraSale"/>
    <s v="FashionUpgrade"/>
    <s v="MyntraTrend,"/>
    <s v="MyntraSale"/>
  </r>
  <r>
    <s v="P212"/>
    <x v="1"/>
    <s v="2025-03-03"/>
    <s v="Video"/>
    <s v="Explore the latest video on Myntra! Trendy styles await."/>
    <n v="3874"/>
    <n v="884"/>
    <n v="19"/>
    <n v="38740"/>
    <n v="0.123309241094476"/>
    <n v="38552"/>
    <n v="219"/>
    <s v="#StyleWithMyntra"/>
    <s v="StyleRevolution"/>
    <s v="StyleWithMyntra"/>
    <s v="NA"/>
  </r>
  <r>
    <s v="P213"/>
    <x v="3"/>
    <s v="2025-05-01"/>
    <s v="Carousel"/>
    <s v="Explore the latest carousel on Myntra! Trendy styles await."/>
    <n v="2696"/>
    <n v="628"/>
    <n v="443"/>
    <n v="45832"/>
    <n v="8.21914819340199E-2"/>
    <n v="45632"/>
    <n v="248"/>
    <s v="#MyntraSale"/>
    <s v="MyntraFestiveEdit"/>
    <s v="MyntraSale"/>
    <s v="NA"/>
  </r>
  <r>
    <s v="P214"/>
    <x v="2"/>
    <s v="2024-12-23"/>
    <s v="Image"/>
    <s v="Explore the latest image on Myntra! Trendy styles await."/>
    <n v="521"/>
    <n v="746"/>
    <n v="315"/>
    <n v="4168"/>
    <n v="0.37955854126679461"/>
    <n v="3399"/>
    <n v="282"/>
    <s v="#MyntraSale"/>
    <s v="FashionUpgrade"/>
    <s v="MyntraSale"/>
    <s v="NA"/>
  </r>
  <r>
    <s v="P215"/>
    <x v="3"/>
    <s v="2025-05-06"/>
    <s v="Image"/>
    <s v="Explore the latest image on Myntra! Trendy styles await."/>
    <n v="4872"/>
    <n v="925"/>
    <n v="176"/>
    <n v="82824"/>
    <n v="7.2116777745580993E-2"/>
    <n v="82543"/>
    <n v="89"/>
    <s v="#MyntraSale,#MyntraTrend"/>
    <s v="FashionUpgrade"/>
    <s v="MyntraSale,"/>
    <s v="MyntraTrend"/>
  </r>
  <r>
    <s v="P216"/>
    <x v="1"/>
    <s v="2024-07-29"/>
    <s v="Story"/>
    <s v="Explore the latest story on Myntra! Trendy styles await."/>
    <n v="1509"/>
    <n v="88"/>
    <n v="163"/>
    <n v="30180"/>
    <n v="5.8316766070245198E-2"/>
    <n v="29689"/>
    <n v="119"/>
    <s v="#MyntraTrend"/>
    <s v="FashionUpgrade"/>
    <s v="MyntraTrend"/>
    <s v="NA"/>
  </r>
  <r>
    <s v="P217"/>
    <x v="3"/>
    <s v="2024-12-03"/>
    <s v="Image"/>
    <s v="Explore the latest image on Myntra! Trendy styles await."/>
    <n v="4606"/>
    <n v="931"/>
    <n v="230"/>
    <n v="92120"/>
    <n v="6.2603126356925748E-2"/>
    <n v="91440"/>
    <n v="56"/>
    <s v="#FashionDeals,#MyntraFashion"/>
    <s v="MyntraFestiveEdit"/>
    <s v="FashionDeals,"/>
    <s v="MyntraFashion"/>
  </r>
  <r>
    <s v="P218"/>
    <x v="3"/>
    <s v="2024-06-11"/>
    <s v="Carousel"/>
    <s v="Explore the latest carousel on Myntra! Trendy styles await."/>
    <n v="1869"/>
    <n v="453"/>
    <n v="490"/>
    <n v="14952"/>
    <n v="0.18806848582129482"/>
    <n v="14309"/>
    <n v="275"/>
    <s v="#FashionDeals,#StyleWithMyntra"/>
    <s v="FashionUpgrade"/>
    <s v="FashionDeals,"/>
    <s v="StyleWithMyntra"/>
  </r>
  <r>
    <s v="P219"/>
    <x v="0"/>
    <s v="2025-01-28"/>
    <s v="Reel"/>
    <s v="Explore the latest reel on Myntra! Trendy styles await."/>
    <n v="1188"/>
    <n v="470"/>
    <n v="174"/>
    <n v="7128"/>
    <n v="0.25701459034792368"/>
    <n v="6145"/>
    <n v="270"/>
    <s v="#StyleWithMyntra,#MyntraFashion"/>
    <s v="EndOfSeasonSale"/>
    <s v="StyleWithMyntra,"/>
    <s v="MyntraFashion"/>
  </r>
  <r>
    <s v="P220"/>
    <x v="2"/>
    <s v="2024-06-02"/>
    <s v="Story"/>
    <s v="Explore the latest story on Myntra! Trendy styles await."/>
    <n v="84"/>
    <n v="897"/>
    <n v="85"/>
    <n v="588"/>
    <n v="1.8129251700680271"/>
    <n v="8"/>
    <n v="12"/>
    <s v="#StyleWithMyntra"/>
    <s v="EndOfSeasonSale"/>
    <s v="StyleWithMyntra"/>
    <s v="NA"/>
  </r>
  <r>
    <s v="P221"/>
    <x v="3"/>
    <s v="2025-03-23"/>
    <s v="Video"/>
    <s v="Explore the latest video on Myntra! Trendy styles await."/>
    <n v="4453"/>
    <n v="111"/>
    <n v="420"/>
    <n v="31171"/>
    <n v="0.15989220750056141"/>
    <n v="30565"/>
    <n v="23"/>
    <s v="#MyntraTrend,#MyntraFashion"/>
    <s v="StyleRevolution"/>
    <s v="MyntraTrend,"/>
    <s v="MyntraFashion"/>
  </r>
  <r>
    <s v="P222"/>
    <x v="3"/>
    <s v="2024-10-08"/>
    <s v="Reel"/>
    <s v="Explore the latest reel on Myntra! Trendy styles await."/>
    <n v="1814"/>
    <n v="653"/>
    <n v="363"/>
    <n v="25396"/>
    <n v="0.11143487163332809"/>
    <n v="25286"/>
    <n v="39"/>
    <s v="#StyleWithMyntra"/>
    <s v="FashionUpgrade"/>
    <s v="StyleWithMyntra"/>
    <s v="NA"/>
  </r>
  <r>
    <s v="P223"/>
    <x v="0"/>
    <s v="2024-11-12"/>
    <s v="Image"/>
    <s v="Explore the latest image on Myntra! Trendy styles await."/>
    <n v="3338"/>
    <n v="277"/>
    <n v="118"/>
    <n v="60084"/>
    <n v="6.2129685107516146E-2"/>
    <n v="59842"/>
    <n v="252"/>
    <s v="#StyleWithMyntra"/>
    <s v="FashionUpgrade"/>
    <s v="StyleWithMyntra"/>
    <s v="NA"/>
  </r>
  <r>
    <s v="P224"/>
    <x v="3"/>
    <s v="2025-05-13"/>
    <s v="Image"/>
    <s v="Explore the latest image on Myntra! Trendy styles await."/>
    <n v="602"/>
    <n v="594"/>
    <n v="156"/>
    <n v="4214"/>
    <n v="0.32083531086853345"/>
    <n v="3363"/>
    <n v="164"/>
    <s v="#MyntraSale"/>
    <s v="MyntraFestiveEdit"/>
    <s v="MyntraSale"/>
    <s v="NA"/>
  </r>
  <r>
    <s v="P225"/>
    <x v="0"/>
    <s v="2024-06-20"/>
    <s v="Carousel"/>
    <s v="Explore the latest carousel on Myntra! Trendy styles await."/>
    <n v="4672"/>
    <n v="325"/>
    <n v="32"/>
    <n v="88768"/>
    <n v="5.6653298485940883E-2"/>
    <n v="87833"/>
    <n v="118"/>
    <s v="#FashionDeals,#MyntraSale"/>
    <s v="MyntraFestiveEdit"/>
    <s v="FashionDeals,"/>
    <s v="MyntraSale"/>
  </r>
  <r>
    <s v="P226"/>
    <x v="2"/>
    <s v="2024-08-07"/>
    <s v="Carousel"/>
    <s v="Explore the latest carousel on Myntra! Trendy styles await."/>
    <n v="1741"/>
    <n v="164"/>
    <n v="318"/>
    <n v="8705"/>
    <n v="0.25537047673750718"/>
    <n v="8272"/>
    <n v="121"/>
    <s v="#MyntraSale"/>
    <s v="EndOfSeasonSale"/>
    <s v="MyntraSale"/>
    <s v="NA"/>
  </r>
  <r>
    <s v="P227"/>
    <x v="2"/>
    <s v="2024-06-12"/>
    <s v="Text"/>
    <s v="Explore the latest text on Myntra! Trendy styles await."/>
    <n v="246"/>
    <n v="149"/>
    <n v="130"/>
    <n v="4674"/>
    <n v="0.11232349165596919"/>
    <n v="4390"/>
    <n v="217"/>
    <s v="#MyntraTrend,#FashionDeals"/>
    <s v="EndOfSeasonSale"/>
    <s v="MyntraTrend,"/>
    <s v="FashionDeals"/>
  </r>
  <r>
    <s v="P228"/>
    <x v="2"/>
    <s v="2024-07-01"/>
    <s v="Story"/>
    <s v="Explore the latest story on Myntra! Trendy styles await."/>
    <n v="4808"/>
    <n v="772"/>
    <n v="320"/>
    <n v="72120"/>
    <n v="8.1808097615085965E-2"/>
    <n v="71696"/>
    <n v="195"/>
    <s v="#MyntraTrend,#MyntraSale"/>
    <s v="StyleRevolution"/>
    <s v="MyntraTrend,"/>
    <s v="MyntraSale"/>
  </r>
  <r>
    <s v="P229"/>
    <x v="2"/>
    <s v="2024-07-03"/>
    <s v="Carousel"/>
    <s v="Explore the latest carousel on Myntra! Trendy styles await."/>
    <n v="4799"/>
    <n v="694"/>
    <n v="289"/>
    <n v="43191"/>
    <n v="0.13387048227640017"/>
    <n v="42228"/>
    <n v="118"/>
    <s v="#MyntraTrend"/>
    <s v="EndOfSeasonSale"/>
    <s v="MyntraTrend"/>
    <s v="NA"/>
  </r>
  <r>
    <s v="P230"/>
    <x v="3"/>
    <s v="2024-07-15"/>
    <s v="Reel"/>
    <s v="Explore the latest reel on Myntra! Trendy styles await."/>
    <n v="3663"/>
    <n v="17"/>
    <n v="295"/>
    <n v="51282"/>
    <n v="7.7512577512577507E-2"/>
    <n v="50567"/>
    <n v="84"/>
    <s v="#MyntraSale"/>
    <s v="FashionUpgrade"/>
    <s v="MyntraSale"/>
    <s v="NA"/>
  </r>
  <r>
    <s v="P231"/>
    <x v="2"/>
    <s v="2025-05-01"/>
    <s v="Text"/>
    <s v="Explore the latest text on Myntra! Trendy styles await."/>
    <n v="1430"/>
    <n v="376"/>
    <n v="33"/>
    <n v="21450"/>
    <n v="8.5734265734265735E-2"/>
    <n v="20509"/>
    <n v="251"/>
    <s v="#FashionDeals"/>
    <s v="MyntraFestiveEdit"/>
    <s v="FashionDeals"/>
    <s v="NA"/>
  </r>
  <r>
    <s v="P232"/>
    <x v="0"/>
    <s v="2025-04-29"/>
    <s v="Story"/>
    <s v="Explore the latest story on Myntra! Trendy styles await."/>
    <n v="249"/>
    <n v="592"/>
    <n v="230"/>
    <n v="1494"/>
    <n v="0.7168674698795181"/>
    <n v="1044"/>
    <n v="201"/>
    <s v="#MyntraFashion,#MyntraTrend"/>
    <s v="StyleRevolution"/>
    <s v="MyntraFashion,"/>
    <s v="MyntraTrend"/>
  </r>
  <r>
    <s v="P233"/>
    <x v="3"/>
    <s v="2025-03-08"/>
    <s v="Image"/>
    <s v="Explore the latest image on Myntra! Trendy styles await."/>
    <n v="2382"/>
    <n v="265"/>
    <n v="134"/>
    <n v="38112"/>
    <n v="7.2969143576826198E-2"/>
    <n v="37437"/>
    <n v="249"/>
    <s v="#FashionDeals,#MyntraTrend"/>
    <s v="EndOfSeasonSale"/>
    <s v="FashionDeals,"/>
    <s v="MyntraTrend"/>
  </r>
  <r>
    <s v="P234"/>
    <x v="3"/>
    <s v="2024-06-01"/>
    <s v="Text"/>
    <s v="Explore the latest text on Myntra! Trendy styles await."/>
    <n v="1272"/>
    <n v="465"/>
    <n v="99"/>
    <n v="24168"/>
    <n v="7.5968222442899705E-2"/>
    <n v="23719"/>
    <n v="42"/>
    <s v="#MyntraFashion,#FashionDeals"/>
    <s v="EndOfSeasonSale"/>
    <s v="MyntraFashion,"/>
    <s v="FashionDeals"/>
  </r>
  <r>
    <s v="P235"/>
    <x v="3"/>
    <s v="2024-12-22"/>
    <s v="Image"/>
    <s v="Explore the latest image on Myntra! Trendy styles await."/>
    <n v="3196"/>
    <n v="941"/>
    <n v="376"/>
    <n v="35156"/>
    <n v="0.1283706906360223"/>
    <n v="34444"/>
    <n v="241"/>
    <s v="#StyleWithMyntra,#MyntraTrend"/>
    <s v="StyleRevolution"/>
    <s v="StyleWithMyntra,"/>
    <s v="MyntraTrend"/>
  </r>
  <r>
    <s v="P236"/>
    <x v="3"/>
    <s v="2024-08-19"/>
    <s v="Text"/>
    <s v="Explore the latest text on Myntra! Trendy styles await."/>
    <n v="1257"/>
    <n v="19"/>
    <n v="351"/>
    <n v="12570"/>
    <n v="0.12943516308671441"/>
    <n v="11660"/>
    <n v="194"/>
    <s v="#StyleWithMyntra"/>
    <s v="FashionUpgrade"/>
    <s v="StyleWithMyntra"/>
    <s v="NA"/>
  </r>
  <r>
    <s v="P237"/>
    <x v="2"/>
    <s v="2024-10-22"/>
    <s v="Story"/>
    <s v="Explore the latest story on Myntra! Trendy styles await."/>
    <n v="3770"/>
    <n v="917"/>
    <n v="129"/>
    <n v="71630"/>
    <n v="6.7234398994834563E-2"/>
    <n v="71322"/>
    <n v="76"/>
    <s v="#MyntraSale,#MyntraTrend"/>
    <s v="StyleRevolution"/>
    <s v="MyntraSale,"/>
    <s v="MyntraTrend"/>
  </r>
  <r>
    <s v="P238"/>
    <x v="0"/>
    <s v="2024-07-16"/>
    <s v="Text"/>
    <s v="Explore the latest text on Myntra! Trendy styles await."/>
    <n v="4725"/>
    <n v="400"/>
    <n v="362"/>
    <n v="75600"/>
    <n v="7.2579365079365077E-2"/>
    <n v="74927"/>
    <n v="43"/>
    <s v="#MyntraTrend,#MyntraFashion"/>
    <s v="FashionUpgrade"/>
    <s v="MyntraTrend,"/>
    <s v="MyntraFashion"/>
  </r>
  <r>
    <s v="P239"/>
    <x v="1"/>
    <s v="2025-02-24"/>
    <s v="Text"/>
    <s v="Explore the latest text on Myntra! Trendy styles await."/>
    <n v="4188"/>
    <n v="942"/>
    <n v="118"/>
    <n v="20940"/>
    <n v="0.25062082139446035"/>
    <n v="20471"/>
    <n v="102"/>
    <s v="#StyleWithMyntra"/>
    <s v="EndOfSeasonSale"/>
    <s v="StyleWithMyntra"/>
    <s v="NA"/>
  </r>
  <r>
    <s v="P240"/>
    <x v="0"/>
    <s v="2024-08-26"/>
    <s v="Carousel"/>
    <s v="Explore the latest carousel on Myntra! Trendy styles await."/>
    <n v="929"/>
    <n v="192"/>
    <n v="322"/>
    <n v="16722"/>
    <n v="8.6293505561535699E-2"/>
    <n v="15996"/>
    <n v="145"/>
    <s v="#MyntraFashion"/>
    <s v="MyntraFestiveEdit"/>
    <s v="MyntraFashion"/>
    <s v="NA"/>
  </r>
  <r>
    <s v="P241"/>
    <x v="3"/>
    <s v="2025-01-18"/>
    <s v="Story"/>
    <s v="Explore the latest story on Myntra! Trendy styles await."/>
    <n v="4321"/>
    <n v="874"/>
    <n v="172"/>
    <n v="30247"/>
    <n v="0.17743908486792079"/>
    <n v="29254"/>
    <n v="122"/>
    <s v="#MyntraSale,#MyntraFashion"/>
    <s v="MyntraFestiveEdit"/>
    <s v="MyntraSale,"/>
    <s v="MyntraFashion"/>
  </r>
  <r>
    <s v="P242"/>
    <x v="3"/>
    <s v="2024-07-07"/>
    <s v="Reel"/>
    <s v="Explore the latest reel on Myntra! Trendy styles await."/>
    <n v="4767"/>
    <n v="190"/>
    <n v="340"/>
    <n v="28602"/>
    <n v="0.18519683938186141"/>
    <n v="28044"/>
    <n v="210"/>
    <s v="#FashionDeals"/>
    <s v="StyleRevolution"/>
    <s v="FashionDeals"/>
    <s v="NA"/>
  </r>
  <r>
    <s v="P243"/>
    <x v="0"/>
    <s v="2025-03-06"/>
    <s v="Image"/>
    <s v="Explore the latest image on Myntra! Trendy styles await."/>
    <n v="3592"/>
    <n v="911"/>
    <n v="375"/>
    <n v="50288"/>
    <n v="9.7001272669424113E-2"/>
    <n v="49490"/>
    <n v="32"/>
    <s v="#StyleWithMyntra"/>
    <s v="EndOfSeasonSale"/>
    <s v="StyleWithMyntra"/>
    <s v="NA"/>
  </r>
  <r>
    <s v="P244"/>
    <x v="1"/>
    <s v="2024-10-25"/>
    <s v="Video"/>
    <s v="Explore the latest video on Myntra! Trendy styles await."/>
    <n v="4661"/>
    <n v="935"/>
    <n v="433"/>
    <n v="23305"/>
    <n v="0.25869984981763572"/>
    <n v="22583"/>
    <n v="63"/>
    <s v="#StyleWithMyntra,#FashionDeals"/>
    <s v="FashionUpgrade"/>
    <s v="StyleWithMyntra,"/>
    <s v="FashionDeals"/>
  </r>
  <r>
    <s v="P245"/>
    <x v="3"/>
    <s v="2025-01-12"/>
    <s v="Reel"/>
    <s v="Explore the latest reel on Myntra! Trendy styles await."/>
    <n v="4134"/>
    <n v="824"/>
    <n v="99"/>
    <n v="41340"/>
    <n v="0.12232704402515723"/>
    <n v="41050"/>
    <n v="177"/>
    <s v="#MyntraFashion"/>
    <s v="EndOfSeasonSale"/>
    <s v="MyntraFashion"/>
    <s v="NA"/>
  </r>
  <r>
    <s v="P246"/>
    <x v="3"/>
    <s v="2024-10-11"/>
    <s v="Image"/>
    <s v="Explore the latest image on Myntra! Trendy styles await."/>
    <n v="400"/>
    <n v="680"/>
    <n v="434"/>
    <n v="6400"/>
    <n v="0.23656250000000001"/>
    <n v="5472"/>
    <n v="160"/>
    <s v="#MyntraSale,#MyntraTrend"/>
    <s v="EndOfSeasonSale"/>
    <s v="MyntraSale,"/>
    <s v="MyntraTrend"/>
  </r>
  <r>
    <s v="P247"/>
    <x v="3"/>
    <s v="2024-08-27"/>
    <s v="Reel"/>
    <s v="Explore the latest reel on Myntra! Trendy styles await."/>
    <n v="3960"/>
    <n v="266"/>
    <n v="8"/>
    <n v="35640"/>
    <n v="0.11879910213243547"/>
    <n v="34850"/>
    <n v="208"/>
    <s v="#MyntraTrend,#MyntraFashion"/>
    <s v="StyleRevolution"/>
    <s v="MyntraTrend,"/>
    <s v="MyntraFashion"/>
  </r>
  <r>
    <s v="P248"/>
    <x v="3"/>
    <s v="2025-02-02"/>
    <s v="Story"/>
    <s v="Explore the latest story on Myntra! Trendy styles await."/>
    <n v="886"/>
    <n v="126"/>
    <n v="153"/>
    <n v="4430"/>
    <n v="0.26297968397291194"/>
    <n v="4037"/>
    <n v="212"/>
    <s v="#MyntraSale"/>
    <s v="MyntraFestiveEdit"/>
    <s v="MyntraSale"/>
    <s v="NA"/>
  </r>
  <r>
    <s v="P249"/>
    <x v="0"/>
    <s v="2024-07-18"/>
    <s v="Image"/>
    <s v="Explore the latest image on Myntra! Trendy styles await."/>
    <n v="827"/>
    <n v="77"/>
    <n v="402"/>
    <n v="14886"/>
    <n v="8.7733440816874911E-2"/>
    <n v="14129"/>
    <n v="254"/>
    <s v="#StyleWithMyntra"/>
    <s v="EndOfSeasonSale"/>
    <s v="StyleWithMyntra"/>
    <s v="NA"/>
  </r>
  <r>
    <s v="P250"/>
    <x v="3"/>
    <s v="2024-06-22"/>
    <s v="Reel"/>
    <s v="Explore the latest reel on Myntra! Trendy styles await."/>
    <n v="3813"/>
    <n v="935"/>
    <n v="274"/>
    <n v="68634"/>
    <n v="7.3170731707317069E-2"/>
    <n v="68488"/>
    <n v="251"/>
    <s v="#FashionDeals,#MyntraTrend"/>
    <s v="FashionUpgrade"/>
    <s v="FashionDeals,"/>
    <s v="MyntraTrend"/>
  </r>
  <r>
    <s v="P251"/>
    <x v="2"/>
    <s v="2025-03-27"/>
    <s v="Carousel"/>
    <s v="Explore the latest carousel on Myntra! Trendy styles await."/>
    <n v="1377"/>
    <n v="796"/>
    <n v="387"/>
    <n v="22032"/>
    <n v="0.11619462599854757"/>
    <n v="21869"/>
    <n v="189"/>
    <s v="#FashionDeals,#MyntraFashion"/>
    <s v="MyntraFestiveEdit"/>
    <s v="FashionDeals,"/>
    <s v="MyntraFashion"/>
  </r>
  <r>
    <s v="P252"/>
    <x v="3"/>
    <s v="2025-04-28"/>
    <s v="Carousel"/>
    <s v="Explore the latest carousel on Myntra! Trendy styles await."/>
    <n v="2089"/>
    <n v="476"/>
    <n v="69"/>
    <n v="16712"/>
    <n v="0.15761129727142173"/>
    <n v="16309"/>
    <n v="64"/>
    <s v="#StyleWithMyntra,#MyntraSale"/>
    <s v="FashionUpgrade"/>
    <s v="StyleWithMyntra,"/>
    <s v="MyntraSale"/>
  </r>
  <r>
    <s v="P253"/>
    <x v="0"/>
    <s v="2024-08-03"/>
    <s v="Reel"/>
    <s v="Explore the latest reel on Myntra! Trendy styles await."/>
    <n v="3791"/>
    <n v="593"/>
    <n v="228"/>
    <n v="53074"/>
    <n v="8.6897539284772202E-2"/>
    <n v="52613"/>
    <n v="205"/>
    <s v="#StyleWithMyntra,#FashionDeals"/>
    <s v="FashionUpgrade"/>
    <s v="StyleWithMyntra,"/>
    <s v="FashionDeals"/>
  </r>
  <r>
    <s v="P254"/>
    <x v="0"/>
    <s v="2025-01-14"/>
    <s v="Image"/>
    <s v="Explore the latest image on Myntra! Trendy styles await."/>
    <n v="2692"/>
    <n v="115"/>
    <n v="64"/>
    <n v="21536"/>
    <n v="0.13331166419019316"/>
    <n v="21120"/>
    <n v="224"/>
    <s v="#FashionDeals,#MyntraTrend"/>
    <s v="StyleRevolution"/>
    <s v="FashionDeals,"/>
    <s v="MyntraTrend"/>
  </r>
  <r>
    <s v="P255"/>
    <x v="3"/>
    <s v="2025-04-03"/>
    <s v="Story"/>
    <s v="Explore the latest story on Myntra! Trendy styles await."/>
    <n v="3767"/>
    <n v="514"/>
    <n v="238"/>
    <n v="37670"/>
    <n v="0.11996283514733209"/>
    <n v="36807"/>
    <n v="226"/>
    <s v="#StyleWithMyntra,#FashionDeals"/>
    <s v="FashionUpgrade"/>
    <s v="StyleWithMyntra,"/>
    <s v="FashionDeals"/>
  </r>
  <r>
    <s v="P256"/>
    <x v="1"/>
    <s v="2024-09-18"/>
    <s v="Carousel"/>
    <s v="Explore the latest carousel on Myntra! Trendy styles await."/>
    <n v="2143"/>
    <n v="12"/>
    <n v="204"/>
    <n v="40717"/>
    <n v="5.7936488444630008E-2"/>
    <n v="40125"/>
    <n v="248"/>
    <s v="#FashionDeals,#MyntraSale"/>
    <s v="StyleRevolution"/>
    <s v="FashionDeals,"/>
    <s v="MyntraSale"/>
  </r>
  <r>
    <s v="P257"/>
    <x v="3"/>
    <s v="2025-04-06"/>
    <s v="Image"/>
    <s v="Explore the latest image on Myntra! Trendy styles await."/>
    <n v="3090"/>
    <n v="697"/>
    <n v="164"/>
    <n v="49440"/>
    <n v="7.9915048543689318E-2"/>
    <n v="48524"/>
    <n v="25"/>
    <s v="#FashionDeals,#StyleWithMyntra"/>
    <s v="StyleRevolution"/>
    <s v="FashionDeals,"/>
    <s v="StyleWithMyntra"/>
  </r>
  <r>
    <s v="P258"/>
    <x v="2"/>
    <s v="2024-08-05"/>
    <s v="Story"/>
    <s v="Explore the latest story on Myntra! Trendy styles await."/>
    <n v="3601"/>
    <n v="695"/>
    <n v="75"/>
    <n v="21606"/>
    <n v="0.2023049153013052"/>
    <n v="21454"/>
    <n v="172"/>
    <s v="#StyleWithMyntra"/>
    <s v="EndOfSeasonSale"/>
    <s v="StyleWithMyntra"/>
    <s v="NA"/>
  </r>
  <r>
    <s v="P259"/>
    <x v="3"/>
    <s v="2025-02-10"/>
    <s v="Text"/>
    <s v="Explore the latest text on Myntra! Trendy styles await."/>
    <n v="562"/>
    <n v="158"/>
    <n v="149"/>
    <n v="3372"/>
    <n v="0.25771055753262156"/>
    <n v="2940"/>
    <n v="93"/>
    <s v="#FashionDeals,#MyntraSale"/>
    <s v="StyleRevolution"/>
    <s v="FashionDeals,"/>
    <s v="MyntraSale"/>
  </r>
  <r>
    <s v="P260"/>
    <x v="2"/>
    <s v="2025-02-12"/>
    <s v="Story"/>
    <s v="Explore the latest story on Myntra! Trendy styles await."/>
    <n v="4332"/>
    <n v="771"/>
    <n v="219"/>
    <n v="60648"/>
    <n v="8.7752275425405618E-2"/>
    <n v="60397"/>
    <n v="10"/>
    <s v="#MyntraFashion"/>
    <s v="MyntraFestiveEdit"/>
    <s v="MyntraFashion"/>
    <s v="NA"/>
  </r>
  <r>
    <s v="P261"/>
    <x v="2"/>
    <s v="2024-10-27"/>
    <s v="Image"/>
    <s v="Explore the latest image on Myntra! Trendy styles await."/>
    <n v="4853"/>
    <n v="837"/>
    <n v="340"/>
    <n v="72795"/>
    <n v="8.2835359571399134E-2"/>
    <n v="72237"/>
    <n v="170"/>
    <s v="#MyntraSale"/>
    <s v="EndOfSeasonSale"/>
    <s v="MyntraSale"/>
    <s v="NA"/>
  </r>
  <r>
    <s v="P262"/>
    <x v="1"/>
    <s v="2025-01-18"/>
    <s v="Image"/>
    <s v="Explore the latest image on Myntra! Trendy styles await."/>
    <n v="1206"/>
    <n v="238"/>
    <n v="36"/>
    <n v="9648"/>
    <n v="0.15339966832504145"/>
    <n v="9417"/>
    <n v="237"/>
    <s v="#MyntraSale,#StyleWithMyntra"/>
    <s v="MyntraFestiveEdit"/>
    <s v="MyntraSale,"/>
    <s v="StyleWithMyntra"/>
  </r>
  <r>
    <s v="P263"/>
    <x v="2"/>
    <s v="2024-08-20"/>
    <s v="Reel"/>
    <s v="Explore the latest reel on Myntra! Trendy styles await."/>
    <n v="2603"/>
    <n v="690"/>
    <n v="205"/>
    <n v="13015"/>
    <n v="0.26876680752977333"/>
    <n v="12130"/>
    <n v="20"/>
    <s v="#MyntraTrend"/>
    <s v="FashionUpgrade"/>
    <s v="MyntraTrend"/>
    <s v="NA"/>
  </r>
  <r>
    <s v="P264"/>
    <x v="0"/>
    <s v="2025-01-30"/>
    <s v="Image"/>
    <s v="Explore the latest image on Myntra! Trendy styles await."/>
    <n v="59"/>
    <n v="163"/>
    <n v="93"/>
    <n v="590"/>
    <n v="0.53389830508474578"/>
    <n v="475"/>
    <n v="293"/>
    <s v="#MyntraTrend"/>
    <s v="StyleRevolution"/>
    <s v="MyntraTrend"/>
    <s v="NA"/>
  </r>
  <r>
    <s v="P265"/>
    <x v="0"/>
    <s v="2025-02-20"/>
    <s v="Carousel"/>
    <s v="Explore the latest carousel on Myntra! Trendy styles await."/>
    <n v="1877"/>
    <n v="745"/>
    <n v="225"/>
    <n v="11262"/>
    <n v="0.25279701651571657"/>
    <n v="10967"/>
    <n v="41"/>
    <s v="#StyleWithMyntra,#MyntraSale"/>
    <s v="FashionUpgrade"/>
    <s v="StyleWithMyntra,"/>
    <s v="MyntraSale"/>
  </r>
  <r>
    <s v="P266"/>
    <x v="3"/>
    <s v="2024-11-25"/>
    <s v="Story"/>
    <s v="Explore the latest story on Myntra! Trendy styles await."/>
    <n v="4182"/>
    <n v="640"/>
    <n v="240"/>
    <n v="50184"/>
    <n v="0.10086880280567512"/>
    <n v="49351"/>
    <n v="10"/>
    <s v="#MyntraSale,#StyleWithMyntra"/>
    <s v="MyntraFestiveEdit"/>
    <s v="MyntraSale,"/>
    <s v="StyleWithMyntra"/>
  </r>
  <r>
    <s v="P267"/>
    <x v="0"/>
    <s v="2024-10-04"/>
    <s v="Reel"/>
    <s v="Explore the latest reel on Myntra! Trendy styles await."/>
    <n v="4187"/>
    <n v="66"/>
    <n v="31"/>
    <n v="66992"/>
    <n v="6.3947934081681396E-2"/>
    <n v="66614"/>
    <n v="62"/>
    <s v="#StyleWithMyntra"/>
    <s v="StyleRevolution"/>
    <s v="StyleWithMyntra"/>
    <s v="NA"/>
  </r>
  <r>
    <s v="P268"/>
    <x v="2"/>
    <s v="2025-04-13"/>
    <s v="Reel"/>
    <s v="Explore the latest reel on Myntra! Trendy styles await."/>
    <n v="4579"/>
    <n v="125"/>
    <n v="300"/>
    <n v="59527"/>
    <n v="8.4062694239588759E-2"/>
    <n v="59400"/>
    <n v="269"/>
    <s v="#StyleWithMyntra,#MyntraFashion"/>
    <s v="FashionUpgrade"/>
    <s v="StyleWithMyntra,"/>
    <s v="MyntraFashion"/>
  </r>
  <r>
    <s v="P269"/>
    <x v="2"/>
    <s v="2024-11-05"/>
    <s v="Video"/>
    <s v="Explore the latest video on Myntra! Trendy styles await."/>
    <n v="4561"/>
    <n v="51"/>
    <n v="441"/>
    <n v="22805"/>
    <n v="0.22157421618066214"/>
    <n v="21890"/>
    <n v="45"/>
    <s v="#StyleWithMyntra"/>
    <s v="EndOfSeasonSale"/>
    <s v="StyleWithMyntra"/>
    <s v="NA"/>
  </r>
  <r>
    <s v="P270"/>
    <x v="1"/>
    <s v="2025-01-15"/>
    <s v="Reel"/>
    <s v="Explore the latest reel on Myntra! Trendy styles await."/>
    <n v="3774"/>
    <n v="239"/>
    <n v="39"/>
    <n v="60384"/>
    <n v="6.7103868574456813E-2"/>
    <n v="59490"/>
    <n v="241"/>
    <s v="#FashionDeals"/>
    <s v="MyntraFestiveEdit"/>
    <s v="FashionDeals"/>
    <s v="NA"/>
  </r>
  <r>
    <s v="P271"/>
    <x v="2"/>
    <s v="2024-10-17"/>
    <s v="Video"/>
    <s v="Explore the latest video on Myntra! Trendy styles await."/>
    <n v="3575"/>
    <n v="749"/>
    <n v="111"/>
    <n v="21450"/>
    <n v="0.20675990675990677"/>
    <n v="20785"/>
    <n v="195"/>
    <s v="#FashionDeals"/>
    <s v="MyntraFestiveEdit"/>
    <s v="FashionDeals"/>
    <s v="NA"/>
  </r>
  <r>
    <s v="P272"/>
    <x v="2"/>
    <s v="2025-03-27"/>
    <s v="Text"/>
    <s v="Explore the latest text on Myntra! Trendy styles await."/>
    <n v="4941"/>
    <n v="414"/>
    <n v="266"/>
    <n v="39528"/>
    <n v="0.14220299534507186"/>
    <n v="39154"/>
    <n v="217"/>
    <s v="#MyntraSale"/>
    <s v="EndOfSeasonSale"/>
    <s v="MyntraSale"/>
    <s v="NA"/>
  </r>
  <r>
    <s v="P273"/>
    <x v="1"/>
    <s v="2024-10-12"/>
    <s v="Story"/>
    <s v="Explore the latest story on Myntra! Trendy styles await."/>
    <n v="3641"/>
    <n v="226"/>
    <n v="46"/>
    <n v="40051"/>
    <n v="9.7700431949264685E-2"/>
    <n v="39319"/>
    <n v="296"/>
    <s v="#MyntraTrend"/>
    <s v="EndOfSeasonSale"/>
    <s v="MyntraTrend"/>
    <s v="NA"/>
  </r>
  <r>
    <s v="P274"/>
    <x v="0"/>
    <s v="2025-01-01"/>
    <s v="Carousel"/>
    <s v="Explore the latest carousel on Myntra! Trendy styles await."/>
    <n v="3535"/>
    <n v="494"/>
    <n v="152"/>
    <n v="53025"/>
    <n v="7.8849599245638849E-2"/>
    <n v="52791"/>
    <n v="44"/>
    <s v="#MyntraTrend,#StyleWithMyntra"/>
    <s v="EndOfSeasonSale"/>
    <s v="MyntraTrend,"/>
    <s v="StyleWithMyntra"/>
  </r>
  <r>
    <s v="P275"/>
    <x v="3"/>
    <s v="2024-08-05"/>
    <s v="Reel"/>
    <s v="Explore the latest reel on Myntra! Trendy styles await."/>
    <n v="1741"/>
    <n v="831"/>
    <n v="345"/>
    <n v="17410"/>
    <n v="0.16754738655944859"/>
    <n v="16844"/>
    <n v="58"/>
    <s v="#MyntraFashion,#FashionDeals"/>
    <s v="StyleRevolution"/>
    <s v="MyntraFashion,"/>
    <s v="FashionDeals"/>
  </r>
  <r>
    <s v="P276"/>
    <x v="0"/>
    <s v="2024-06-07"/>
    <s v="Carousel"/>
    <s v="Explore the latest carousel on Myntra! Trendy styles await."/>
    <n v="1556"/>
    <n v="195"/>
    <n v="131"/>
    <n v="9336"/>
    <n v="0.2015852613538989"/>
    <n v="8875"/>
    <n v="137"/>
    <s v="#MyntraFashion"/>
    <s v="EndOfSeasonSale"/>
    <s v="MyntraFashion"/>
    <s v="NA"/>
  </r>
  <r>
    <s v="P277"/>
    <x v="3"/>
    <s v="2025-04-06"/>
    <s v="Image"/>
    <s v="Explore the latest image on Myntra! Trendy styles await."/>
    <n v="4236"/>
    <n v="711"/>
    <n v="298"/>
    <n v="21180"/>
    <n v="0.24763928234183191"/>
    <n v="20516"/>
    <n v="238"/>
    <s v="#MyntraTrend,#MyntraSale"/>
    <s v="StyleRevolution"/>
    <s v="MyntraTrend,"/>
    <s v="MyntraSale"/>
  </r>
  <r>
    <s v="P278"/>
    <x v="0"/>
    <s v="2024-11-26"/>
    <s v="Text"/>
    <s v="Explore the latest text on Myntra! Trendy styles await."/>
    <n v="4516"/>
    <n v="836"/>
    <n v="169"/>
    <n v="49676"/>
    <n v="0.11114018842096787"/>
    <n v="49257"/>
    <n v="282"/>
    <s v="#MyntraTrend"/>
    <s v="FashionUpgrade"/>
    <s v="MyntraTrend"/>
    <s v="NA"/>
  </r>
  <r>
    <s v="P279"/>
    <x v="1"/>
    <s v="2024-09-02"/>
    <s v="Image"/>
    <s v="Explore the latest image on Myntra! Trendy styles await."/>
    <n v="4905"/>
    <n v="845"/>
    <n v="129"/>
    <n v="98100"/>
    <n v="5.9928644240570844E-2"/>
    <n v="97772"/>
    <n v="279"/>
    <s v="#MyntraTrend"/>
    <s v="StyleRevolution"/>
    <s v="MyntraTrend"/>
    <s v="NA"/>
  </r>
  <r>
    <s v="P280"/>
    <x v="1"/>
    <s v="2024-10-21"/>
    <s v="Video"/>
    <s v="Explore the latest video on Myntra! Trendy styles await."/>
    <n v="4275"/>
    <n v="680"/>
    <n v="385"/>
    <n v="64125"/>
    <n v="8.3274853801169585E-2"/>
    <n v="63650"/>
    <n v="104"/>
    <s v="#StyleWithMyntra"/>
    <s v="StyleRevolution"/>
    <s v="StyleWithMyntra"/>
    <s v="NA"/>
  </r>
  <r>
    <s v="P281"/>
    <x v="1"/>
    <s v="2025-03-22"/>
    <s v="Image"/>
    <s v="Explore the latest image on Myntra! Trendy styles await."/>
    <n v="3166"/>
    <n v="90"/>
    <n v="341"/>
    <n v="56988"/>
    <n v="6.3118551273952411E-2"/>
    <n v="56125"/>
    <n v="135"/>
    <s v="#MyntraFashion,#StyleWithMyntra"/>
    <s v="EndOfSeasonSale"/>
    <s v="MyntraFashion,"/>
    <s v="StyleWithMyntra"/>
  </r>
  <r>
    <s v="P282"/>
    <x v="2"/>
    <s v="2024-10-03"/>
    <s v="Video"/>
    <s v="Explore the latest video on Myntra! Trendy styles await."/>
    <n v="1488"/>
    <n v="417"/>
    <n v="168"/>
    <n v="19344"/>
    <n v="0.1071650124069479"/>
    <n v="18395"/>
    <n v="30"/>
    <s v="#MyntraSale"/>
    <s v="FashionUpgrade"/>
    <s v="MyntraSale"/>
    <s v="NA"/>
  </r>
  <r>
    <s v="P283"/>
    <x v="0"/>
    <s v="2025-05-09"/>
    <s v="Reel"/>
    <s v="Explore the latest reel on Myntra! Trendy styles await."/>
    <n v="3367"/>
    <n v="302"/>
    <n v="57"/>
    <n v="63973"/>
    <n v="5.8243321401216137E-2"/>
    <n v="63789"/>
    <n v="157"/>
    <s v="#MyntraTrend,#MyntraFashion"/>
    <s v="MyntraFestiveEdit"/>
    <s v="MyntraTrend,"/>
    <s v="MyntraFashion"/>
  </r>
  <r>
    <s v="P284"/>
    <x v="0"/>
    <s v="2024-09-17"/>
    <s v="Text"/>
    <s v="Explore the latest text on Myntra! Trendy styles await."/>
    <n v="571"/>
    <n v="190"/>
    <n v="352"/>
    <n v="9707"/>
    <n v="0.11465952405480581"/>
    <n v="9418"/>
    <n v="231"/>
    <s v="#FashionDeals"/>
    <s v="EndOfSeasonSale"/>
    <s v="FashionDeals"/>
    <s v="NA"/>
  </r>
  <r>
    <s v="P285"/>
    <x v="1"/>
    <s v="2024-07-18"/>
    <s v="Text"/>
    <s v="Explore the latest text on Myntra! Trendy styles await."/>
    <n v="4021"/>
    <n v="794"/>
    <n v="77"/>
    <n v="36189"/>
    <n v="0.13517919809886983"/>
    <n v="35505"/>
    <n v="174"/>
    <s v="#FashionDeals,#StyleWithMyntra"/>
    <s v="FashionUpgrade"/>
    <s v="FashionDeals,"/>
    <s v="StyleWithMyntra"/>
  </r>
  <r>
    <s v="P286"/>
    <x v="1"/>
    <s v="2024-09-25"/>
    <s v="Video"/>
    <s v="Explore the latest video on Myntra! Trendy styles await."/>
    <n v="3389"/>
    <n v="344"/>
    <n v="229"/>
    <n v="20334"/>
    <n v="0.19484607062063539"/>
    <n v="19443"/>
    <n v="228"/>
    <s v="#MyntraFashion,#MyntraSale"/>
    <s v="EndOfSeasonSale"/>
    <s v="MyntraFashion,"/>
    <s v="MyntraSale"/>
  </r>
  <r>
    <s v="P287"/>
    <x v="2"/>
    <s v="2024-08-15"/>
    <s v="Reel"/>
    <s v="Explore the latest reel on Myntra! Trendy styles await."/>
    <n v="1164"/>
    <n v="616"/>
    <n v="324"/>
    <n v="6984"/>
    <n v="0.30126002290950743"/>
    <n v="6636"/>
    <n v="82"/>
    <s v="#MyntraFashion,#MyntraTrend"/>
    <s v="MyntraFestiveEdit"/>
    <s v="MyntraFashion,"/>
    <s v="MyntraTrend"/>
  </r>
  <r>
    <s v="P288"/>
    <x v="1"/>
    <s v="2025-04-17"/>
    <s v="Carousel"/>
    <s v="Explore the latest carousel on Myntra! Trendy styles await."/>
    <n v="4780"/>
    <n v="691"/>
    <n v="380"/>
    <n v="86040"/>
    <n v="6.800325430032543E-2"/>
    <n v="85743"/>
    <n v="262"/>
    <s v="#MyntraFashion,#FashionDeals"/>
    <s v="MyntraFestiveEdit"/>
    <s v="MyntraFashion,"/>
    <s v="FashionDeals"/>
  </r>
  <r>
    <s v="P289"/>
    <x v="3"/>
    <s v="2024-11-28"/>
    <s v="Carousel"/>
    <s v="Explore the latest carousel on Myntra! Trendy styles await."/>
    <n v="2751"/>
    <n v="33"/>
    <n v="430"/>
    <n v="44016"/>
    <n v="7.3018902217375503E-2"/>
    <n v="43415"/>
    <n v="129"/>
    <s v="#MyntraTrend,#StyleWithMyntra"/>
    <s v="EndOfSeasonSale"/>
    <s v="MyntraTrend,"/>
    <s v="StyleWithMyntra"/>
  </r>
  <r>
    <s v="P290"/>
    <x v="2"/>
    <s v="2024-12-20"/>
    <s v="Carousel"/>
    <s v="Explore the latest carousel on Myntra! Trendy styles await."/>
    <n v="2107"/>
    <n v="550"/>
    <n v="349"/>
    <n v="35819"/>
    <n v="8.3921940869371006E-2"/>
    <n v="35340"/>
    <n v="191"/>
    <s v="#MyntraTrend"/>
    <s v="MyntraFestiveEdit"/>
    <s v="MyntraTrend"/>
    <s v="NA"/>
  </r>
  <r>
    <s v="P291"/>
    <x v="3"/>
    <s v="2024-11-06"/>
    <s v="Video"/>
    <s v="Explore the latest video on Myntra! Trendy styles await."/>
    <n v="4663"/>
    <n v="145"/>
    <n v="225"/>
    <n v="69945"/>
    <n v="7.1956537279290869E-2"/>
    <n v="69596"/>
    <n v="35"/>
    <s v="#MyntraFashion"/>
    <s v="EndOfSeasonSale"/>
    <s v="MyntraFashion"/>
    <s v="NA"/>
  </r>
  <r>
    <s v="P292"/>
    <x v="3"/>
    <s v="2024-11-17"/>
    <s v="Text"/>
    <s v="Explore the latest text on Myntra! Trendy styles await."/>
    <n v="880"/>
    <n v="297"/>
    <n v="345"/>
    <n v="12320"/>
    <n v="0.12353896103896105"/>
    <n v="11978"/>
    <n v="238"/>
    <s v="#MyntraSale"/>
    <s v="EndOfSeasonSale"/>
    <s v="MyntraSale"/>
    <s v="NA"/>
  </r>
  <r>
    <s v="P293"/>
    <x v="3"/>
    <s v="2025-05-14"/>
    <s v="Text"/>
    <s v="Explore the latest text on Myntra! Trendy styles await."/>
    <n v="2634"/>
    <n v="726"/>
    <n v="241"/>
    <n v="28974"/>
    <n v="0.12428384068475185"/>
    <n v="28102"/>
    <n v="277"/>
    <s v="#StyleWithMyntra"/>
    <s v="MyntraFestiveEdit"/>
    <s v="StyleWithMyntra"/>
    <s v="NA"/>
  </r>
  <r>
    <s v="P294"/>
    <x v="3"/>
    <s v="2024-06-19"/>
    <s v="Carousel"/>
    <s v="Explore the latest carousel on Myntra! Trendy styles await."/>
    <n v="4731"/>
    <n v="173"/>
    <n v="276"/>
    <n v="28386"/>
    <n v="0.18248432325794406"/>
    <n v="28185"/>
    <n v="89"/>
    <s v="#MyntraTrend,#MyntraFashion"/>
    <s v="StyleRevolution"/>
    <s v="MyntraTrend,"/>
    <s v="MyntraFashion"/>
  </r>
  <r>
    <s v="P295"/>
    <x v="0"/>
    <s v="2025-05-06"/>
    <s v="Image"/>
    <s v="Explore the latest image on Myntra! Trendy styles await."/>
    <n v="1952"/>
    <n v="344"/>
    <n v="287"/>
    <n v="15616"/>
    <n v="0.16540727459016394"/>
    <n v="15403"/>
    <n v="235"/>
    <s v="#MyntraSale,#MyntraFashion"/>
    <s v="MyntraFestiveEdit"/>
    <s v="MyntraSale,"/>
    <s v="MyntraFashion"/>
  </r>
  <r>
    <s v="P296"/>
    <x v="0"/>
    <s v="2025-02-11"/>
    <s v="Video"/>
    <s v="Explore the latest video on Myntra! Trendy styles await."/>
    <n v="3440"/>
    <n v="13"/>
    <n v="20"/>
    <n v="58480"/>
    <n v="5.9387824897400819E-2"/>
    <n v="58146"/>
    <n v="210"/>
    <s v="#MyntraFashion,#FashionDeals"/>
    <s v="FashionUpgrade"/>
    <s v="MyntraFashion,"/>
    <s v="FashionDeals"/>
  </r>
  <r>
    <s v="P297"/>
    <x v="0"/>
    <s v="2024-12-24"/>
    <s v="Text"/>
    <s v="Explore the latest text on Myntra! Trendy styles await."/>
    <n v="2166"/>
    <n v="354"/>
    <n v="117"/>
    <n v="10830"/>
    <n v="0.24349030470914126"/>
    <n v="10245"/>
    <n v="24"/>
    <s v="#StyleWithMyntra,#MyntraTrend"/>
    <s v="FashionUpgrade"/>
    <s v="StyleWithMyntra,"/>
    <s v="MyntraTrend"/>
  </r>
  <r>
    <s v="P298"/>
    <x v="3"/>
    <s v="2024-10-24"/>
    <s v="Image"/>
    <s v="Explore the latest image on Myntra! Trendy styles await."/>
    <n v="4303"/>
    <n v="451"/>
    <n v="286"/>
    <n v="86060"/>
    <n v="5.8563792702765516E-2"/>
    <n v="85823"/>
    <n v="14"/>
    <s v="#MyntraSale"/>
    <s v="EndOfSeasonSale"/>
    <s v="MyntraSale"/>
    <s v="NA"/>
  </r>
  <r>
    <s v="P299"/>
    <x v="3"/>
    <s v="2024-08-26"/>
    <s v="Image"/>
    <s v="Explore the latest image on Myntra! Trendy styles await."/>
    <n v="2581"/>
    <n v="517"/>
    <n v="117"/>
    <n v="23229"/>
    <n v="0.13840458048129492"/>
    <n v="22331"/>
    <n v="70"/>
    <s v="#MyntraSale,#StyleWithMyntra"/>
    <s v="EndOfSeasonSale"/>
    <s v="MyntraSale,"/>
    <s v="StyleWithMyntra"/>
  </r>
  <r>
    <s v="P300"/>
    <x v="0"/>
    <s v="2024-08-31"/>
    <s v="Carousel"/>
    <s v="Explore the latest carousel on Myntra! Trendy styles await."/>
    <n v="4494"/>
    <n v="717"/>
    <n v="45"/>
    <n v="62916"/>
    <n v="8.3539958039290485E-2"/>
    <n v="62688"/>
    <n v="191"/>
    <s v="#MyntraFashion"/>
    <s v="FashionUpgrade"/>
    <s v="MyntraFashion"/>
    <s v="NA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135"/>
    <n v="88"/>
    <n v="344084"/>
    <n v="3.0428616268120576E-3"/>
    <n v="8.06"/>
    <n v="5904"/>
  </r>
  <r>
    <d v="2024-06-03T00:00:00"/>
    <x v="1"/>
    <n v="1312"/>
    <n v="310"/>
    <n v="42654"/>
    <n v="2.3491348994232664E-2"/>
    <n v="4.9800000000000004"/>
    <n v="9566"/>
  </r>
  <r>
    <d v="2024-06-03T00:00:00"/>
    <x v="2"/>
    <n v="584"/>
    <n v="169"/>
    <n v="146834"/>
    <n v="2.826320879360366E-3"/>
    <n v="8.31"/>
    <n v="26752"/>
  </r>
  <r>
    <d v="2024-06-03T00:00:00"/>
    <x v="3"/>
    <n v="1535"/>
    <n v="445"/>
    <n v="395536"/>
    <n v="2.7557542170624167E-3"/>
    <n v="4.1100000000000003"/>
    <n v="30671"/>
  </r>
  <r>
    <d v="2024-06-10T00:00:00"/>
    <x v="0"/>
    <n v="656"/>
    <n v="139"/>
    <n v="49157"/>
    <n v="1.0517322049758936E-2"/>
    <n v="9.0500000000000007"/>
    <n v="9920"/>
  </r>
  <r>
    <d v="2024-06-10T00:00:00"/>
    <x v="1"/>
    <n v="1697"/>
    <n v="414"/>
    <n v="316555"/>
    <n v="4.0530081660374974E-3"/>
    <n v="2.37"/>
    <n v="7924"/>
  </r>
  <r>
    <d v="2024-06-10T00:00:00"/>
    <x v="2"/>
    <n v="436"/>
    <n v="250"/>
    <n v="254347"/>
    <n v="7.3128442639386348E-4"/>
    <n v="4.01"/>
    <n v="8912"/>
  </r>
  <r>
    <d v="2024-06-10T00:00:00"/>
    <x v="3"/>
    <n v="1197"/>
    <n v="203"/>
    <n v="413878"/>
    <n v="2.4016739232334168E-3"/>
    <n v="3.16"/>
    <n v="21205"/>
  </r>
  <r>
    <d v="2024-06-17T00:00:00"/>
    <x v="0"/>
    <n v="1048"/>
    <n v="155"/>
    <n v="456946"/>
    <n v="1.9542790614208243E-3"/>
    <n v="2.46"/>
    <n v="11329"/>
  </r>
  <r>
    <d v="2024-06-17T00:00:00"/>
    <x v="1"/>
    <n v="1753"/>
    <n v="371"/>
    <n v="169496"/>
    <n v="8.1535847453627231E-3"/>
    <n v="8.11"/>
    <n v="46670"/>
  </r>
  <r>
    <d v="2024-06-17T00:00:00"/>
    <x v="2"/>
    <n v="1335"/>
    <n v="40"/>
    <n v="122732"/>
    <n v="1.0551445425805821E-2"/>
    <n v="8.19"/>
    <n v="22482"/>
  </r>
  <r>
    <d v="2024-06-17T00:00:00"/>
    <x v="3"/>
    <n v="403"/>
    <n v="66"/>
    <n v="382851"/>
    <n v="8.80238003818718E-4"/>
    <n v="3.49"/>
    <n v="24313"/>
  </r>
  <r>
    <d v="2024-06-24T00:00:00"/>
    <x v="0"/>
    <n v="911"/>
    <n v="282"/>
    <n v="35664"/>
    <n v="1.7636832660385824E-2"/>
    <n v="6.92"/>
    <n v="18050"/>
  </r>
  <r>
    <d v="2024-06-24T00:00:00"/>
    <x v="1"/>
    <n v="1779"/>
    <n v="109"/>
    <n v="26295"/>
    <n v="6.3510173036698994E-2"/>
    <n v="9.1199999999999992"/>
    <n v="30635"/>
  </r>
  <r>
    <d v="2024-06-24T00:00:00"/>
    <x v="2"/>
    <n v="1238"/>
    <n v="403"/>
    <n v="298421"/>
    <n v="2.798060458211721E-3"/>
    <n v="3.5"/>
    <n v="31280"/>
  </r>
  <r>
    <d v="2024-06-24T00:00:00"/>
    <x v="3"/>
    <n v="308"/>
    <n v="431"/>
    <n v="426184"/>
    <n v="-2.8860773750305035E-4"/>
    <n v="2.62"/>
    <n v="1783"/>
  </r>
  <r>
    <d v="2024-07-01T00:00:00"/>
    <x v="0"/>
    <n v="226"/>
    <n v="445"/>
    <n v="419447"/>
    <n v="-5.2211602419375983E-4"/>
    <n v="9.36"/>
    <n v="9566"/>
  </r>
  <r>
    <d v="2024-07-01T00:00:00"/>
    <x v="1"/>
    <n v="505"/>
    <n v="441"/>
    <n v="220020"/>
    <n v="2.9088264703208797E-4"/>
    <n v="4.4800000000000004"/>
    <n v="42307"/>
  </r>
  <r>
    <d v="2024-07-01T00:00:00"/>
    <x v="2"/>
    <n v="1420"/>
    <n v="63"/>
    <n v="315305"/>
    <n v="4.3037693661692649E-3"/>
    <n v="6.19"/>
    <n v="5914"/>
  </r>
  <r>
    <d v="2024-07-01T00:00:00"/>
    <x v="3"/>
    <n v="144"/>
    <n v="53"/>
    <n v="113678"/>
    <n v="8.0050669434719116E-4"/>
    <n v="8.7200000000000006"/>
    <n v="30060"/>
  </r>
  <r>
    <d v="2024-07-08T00:00:00"/>
    <x v="0"/>
    <n v="1757"/>
    <n v="85"/>
    <n v="58223"/>
    <n v="2.8717173625543171E-2"/>
    <n v="8.74"/>
    <n v="22728"/>
  </r>
  <r>
    <d v="2024-07-08T00:00:00"/>
    <x v="1"/>
    <n v="350"/>
    <n v="41"/>
    <n v="251694"/>
    <n v="1.2276812319721568E-3"/>
    <n v="1.91"/>
    <n v="38610"/>
  </r>
  <r>
    <d v="2024-07-08T00:00:00"/>
    <x v="2"/>
    <n v="987"/>
    <n v="440"/>
    <n v="389810"/>
    <n v="1.40324773607655E-3"/>
    <n v="4.66"/>
    <n v="2932"/>
  </r>
  <r>
    <d v="2024-07-08T00:00:00"/>
    <x v="3"/>
    <n v="883"/>
    <n v="369"/>
    <n v="233694"/>
    <n v="2.1994574101175039E-3"/>
    <n v="2.88"/>
    <n v="15071"/>
  </r>
  <r>
    <d v="2024-07-15T00:00:00"/>
    <x v="0"/>
    <n v="1960"/>
    <n v="115"/>
    <n v="154169"/>
    <n v="1.1967386439556591E-2"/>
    <n v="3.74"/>
    <n v="10740"/>
  </r>
  <r>
    <d v="2024-07-15T00:00:00"/>
    <x v="1"/>
    <n v="170"/>
    <n v="334"/>
    <n v="334626"/>
    <n v="-4.9009939454794306E-4"/>
    <n v="6.44"/>
    <n v="43420"/>
  </r>
  <r>
    <d v="2024-07-15T00:00:00"/>
    <x v="2"/>
    <n v="704"/>
    <n v="275"/>
    <n v="226002"/>
    <n v="1.8982132901478749E-3"/>
    <n v="8.56"/>
    <n v="32393"/>
  </r>
  <r>
    <d v="2024-07-15T00:00:00"/>
    <x v="3"/>
    <n v="224"/>
    <n v="64"/>
    <n v="156683"/>
    <n v="1.0211701333265254E-3"/>
    <n v="4.5599999999999996"/>
    <n v="28474"/>
  </r>
  <r>
    <d v="2024-07-22T00:00:00"/>
    <x v="0"/>
    <n v="508"/>
    <n v="349"/>
    <n v="473812"/>
    <n v="3.3557613568250698E-4"/>
    <n v="7.88"/>
    <n v="17328"/>
  </r>
  <r>
    <d v="2024-07-22T00:00:00"/>
    <x v="1"/>
    <n v="1391"/>
    <n v="430"/>
    <n v="295032"/>
    <n v="3.2572737872501967E-3"/>
    <n v="7.86"/>
    <n v="26067"/>
  </r>
  <r>
    <d v="2024-07-22T00:00:00"/>
    <x v="2"/>
    <n v="1701"/>
    <n v="385"/>
    <n v="198278"/>
    <n v="6.6371458255580548E-3"/>
    <n v="5.34"/>
    <n v="32763"/>
  </r>
  <r>
    <d v="2024-07-22T00:00:00"/>
    <x v="3"/>
    <n v="804"/>
    <n v="487"/>
    <n v="306564"/>
    <n v="1.0340418313957282E-3"/>
    <n v="5.52"/>
    <n v="26452"/>
  </r>
  <r>
    <d v="2024-07-29T00:00:00"/>
    <x v="0"/>
    <n v="653"/>
    <n v="112"/>
    <n v="23664"/>
    <n v="2.2861730899256253E-2"/>
    <n v="4.05"/>
    <n v="15353"/>
  </r>
  <r>
    <d v="2024-07-29T00:00:00"/>
    <x v="1"/>
    <n v="160"/>
    <n v="478"/>
    <n v="435034"/>
    <n v="-7.3097734889686784E-4"/>
    <n v="7.73"/>
    <n v="4839"/>
  </r>
  <r>
    <d v="2024-07-29T00:00:00"/>
    <x v="2"/>
    <n v="1756"/>
    <n v="261"/>
    <n v="287574"/>
    <n v="5.1986619096302169E-3"/>
    <n v="4.3600000000000003"/>
    <n v="39272"/>
  </r>
  <r>
    <d v="2024-07-29T00:00:00"/>
    <x v="3"/>
    <n v="576"/>
    <n v="101"/>
    <n v="62499"/>
    <n v="7.600121601945631E-3"/>
    <n v="3.48"/>
    <n v="16804"/>
  </r>
  <r>
    <d v="2024-08-05T00:00:00"/>
    <x v="0"/>
    <n v="645"/>
    <n v="293"/>
    <n v="437968"/>
    <n v="8.0371168669857163E-4"/>
    <n v="7.83"/>
    <n v="49303"/>
  </r>
  <r>
    <d v="2024-08-05T00:00:00"/>
    <x v="1"/>
    <n v="214"/>
    <n v="411"/>
    <n v="125034"/>
    <n v="-1.5755714445670778E-3"/>
    <n v="6.11"/>
    <n v="26455"/>
  </r>
  <r>
    <d v="2024-08-05T00:00:00"/>
    <x v="2"/>
    <n v="826"/>
    <n v="498"/>
    <n v="449994"/>
    <n v="7.2889860753698943E-4"/>
    <n v="9.43"/>
    <n v="12384"/>
  </r>
  <r>
    <d v="2024-08-05T00:00:00"/>
    <x v="3"/>
    <n v="460"/>
    <n v="141"/>
    <n v="320650"/>
    <n v="9.9485420240137223E-4"/>
    <n v="4.04"/>
    <n v="49372"/>
  </r>
  <r>
    <d v="2024-08-12T00:00:00"/>
    <x v="0"/>
    <n v="1528"/>
    <n v="203"/>
    <n v="489188"/>
    <n v="2.7085701202809553E-3"/>
    <n v="6.23"/>
    <n v="47101"/>
  </r>
  <r>
    <d v="2024-08-12T00:00:00"/>
    <x v="1"/>
    <n v="1534"/>
    <n v="200"/>
    <n v="307612"/>
    <n v="4.3366318609156986E-3"/>
    <n v="6.01"/>
    <n v="37903"/>
  </r>
  <r>
    <d v="2024-08-12T00:00:00"/>
    <x v="2"/>
    <n v="485"/>
    <n v="448"/>
    <n v="434883"/>
    <n v="8.5080354946042954E-5"/>
    <n v="8.5500000000000007"/>
    <n v="33258"/>
  </r>
  <r>
    <d v="2024-08-12T00:00:00"/>
    <x v="3"/>
    <n v="1210"/>
    <n v="178"/>
    <n v="102042"/>
    <n v="1.011348268360087E-2"/>
    <n v="5.42"/>
    <n v="6915"/>
  </r>
  <r>
    <d v="2024-08-19T00:00:00"/>
    <x v="0"/>
    <n v="215"/>
    <n v="139"/>
    <n v="325444"/>
    <n v="2.335271198731579E-4"/>
    <n v="3.25"/>
    <n v="35501"/>
  </r>
  <r>
    <d v="2024-08-19T00:00:00"/>
    <x v="1"/>
    <n v="1078"/>
    <n v="20"/>
    <n v="183924"/>
    <n v="5.7523759813836147E-3"/>
    <n v="8.84"/>
    <n v="14203"/>
  </r>
  <r>
    <d v="2024-08-19T00:00:00"/>
    <x v="2"/>
    <n v="1751"/>
    <n v="86"/>
    <n v="188655"/>
    <n v="8.825634093981077E-3"/>
    <n v="7.24"/>
    <n v="22206"/>
  </r>
  <r>
    <d v="2024-08-19T00:00:00"/>
    <x v="3"/>
    <n v="221"/>
    <n v="31"/>
    <n v="87443"/>
    <n v="2.1728440241071327E-3"/>
    <n v="6.19"/>
    <n v="10283"/>
  </r>
  <r>
    <d v="2024-08-26T00:00:00"/>
    <x v="0"/>
    <n v="1685"/>
    <n v="76"/>
    <n v="453799"/>
    <n v="3.5456226214689766E-3"/>
    <n v="5.71"/>
    <n v="24913"/>
  </r>
  <r>
    <d v="2024-08-26T00:00:00"/>
    <x v="1"/>
    <n v="248"/>
    <n v="211"/>
    <n v="379380"/>
    <n v="9.7527544941747058E-5"/>
    <n v="9.0399999999999991"/>
    <n v="26925"/>
  </r>
  <r>
    <d v="2024-08-26T00:00:00"/>
    <x v="2"/>
    <n v="1300"/>
    <n v="71"/>
    <n v="186454"/>
    <n v="6.5914381026955706E-3"/>
    <n v="3.91"/>
    <n v="9942"/>
  </r>
  <r>
    <d v="2024-08-26T00:00:00"/>
    <x v="3"/>
    <n v="422"/>
    <n v="394"/>
    <n v="239044"/>
    <n v="1.1713324743561855E-4"/>
    <n v="7.83"/>
    <n v="32929"/>
  </r>
  <r>
    <d v="2024-09-02T00:00:00"/>
    <x v="0"/>
    <n v="1429"/>
    <n v="182"/>
    <n v="101332"/>
    <n v="1.2306082974775983E-2"/>
    <n v="7.16"/>
    <n v="37829"/>
  </r>
  <r>
    <d v="2024-09-02T00:00:00"/>
    <x v="1"/>
    <n v="1520"/>
    <n v="475"/>
    <n v="496982"/>
    <n v="2.1026918479944948E-3"/>
    <n v="6.41"/>
    <n v="24384"/>
  </r>
  <r>
    <d v="2024-09-02T00:00:00"/>
    <x v="2"/>
    <n v="557"/>
    <n v="360"/>
    <n v="318779"/>
    <n v="6.1798299135137512E-4"/>
    <n v="8.02"/>
    <n v="25797"/>
  </r>
  <r>
    <d v="2024-09-02T00:00:00"/>
    <x v="3"/>
    <n v="728"/>
    <n v="395"/>
    <n v="370971"/>
    <n v="8.9764429025449434E-4"/>
    <n v="3.86"/>
    <n v="12646"/>
  </r>
  <r>
    <d v="2024-09-09T00:00:00"/>
    <x v="0"/>
    <n v="1592"/>
    <n v="20"/>
    <n v="378054"/>
    <n v="4.1581361392816901E-3"/>
    <n v="9.09"/>
    <n v="26663"/>
  </r>
  <r>
    <d v="2024-09-09T00:00:00"/>
    <x v="1"/>
    <n v="1842"/>
    <n v="414"/>
    <n v="307524"/>
    <n v="4.6435400163889647E-3"/>
    <n v="1.76"/>
    <n v="40478"/>
  </r>
  <r>
    <d v="2024-09-09T00:00:00"/>
    <x v="2"/>
    <n v="751"/>
    <n v="491"/>
    <n v="434047"/>
    <n v="5.990134708914012E-4"/>
    <n v="9.24"/>
    <n v="15476"/>
  </r>
  <r>
    <d v="2024-09-09T00:00:00"/>
    <x v="3"/>
    <n v="1409"/>
    <n v="309"/>
    <n v="64583"/>
    <n v="1.7032345973398571E-2"/>
    <n v="8.99"/>
    <n v="10217"/>
  </r>
  <r>
    <d v="2024-09-16T00:00:00"/>
    <x v="0"/>
    <n v="778"/>
    <n v="401"/>
    <n v="50793"/>
    <n v="7.4222825979957871E-3"/>
    <n v="3.4"/>
    <n v="21939"/>
  </r>
  <r>
    <d v="2024-09-16T00:00:00"/>
    <x v="1"/>
    <n v="443"/>
    <n v="345"/>
    <n v="474162"/>
    <n v="2.0668041724136477E-4"/>
    <n v="9.1999999999999993"/>
    <n v="47462"/>
  </r>
  <r>
    <d v="2024-09-16T00:00:00"/>
    <x v="2"/>
    <n v="1472"/>
    <n v="347"/>
    <n v="392355"/>
    <n v="2.8673012960201858E-3"/>
    <n v="8.59"/>
    <n v="30270"/>
  </r>
  <r>
    <d v="2024-09-16T00:00:00"/>
    <x v="3"/>
    <n v="123"/>
    <n v="155"/>
    <n v="119934"/>
    <n v="-2.6681341404439108E-4"/>
    <n v="3.5"/>
    <n v="5442"/>
  </r>
  <r>
    <d v="2024-09-23T00:00:00"/>
    <x v="0"/>
    <n v="817"/>
    <n v="151"/>
    <n v="422625"/>
    <n v="1.5758651286601596E-3"/>
    <n v="2.36"/>
    <n v="1083"/>
  </r>
  <r>
    <d v="2024-09-23T00:00:00"/>
    <x v="1"/>
    <n v="198"/>
    <n v="217"/>
    <n v="239753"/>
    <n v="-7.9248226299566635E-5"/>
    <n v="7.36"/>
    <n v="11901"/>
  </r>
  <r>
    <d v="2024-09-23T00:00:00"/>
    <x v="2"/>
    <n v="1911"/>
    <n v="231"/>
    <n v="268516"/>
    <n v="6.2566104068286429E-3"/>
    <n v="8.5500000000000007"/>
    <n v="24018"/>
  </r>
  <r>
    <d v="2024-09-23T00:00:00"/>
    <x v="3"/>
    <n v="1218"/>
    <n v="212"/>
    <n v="63177"/>
    <n v="1.592351646960128E-2"/>
    <n v="8.1300000000000008"/>
    <n v="38883"/>
  </r>
  <r>
    <d v="2024-09-30T00:00:00"/>
    <x v="0"/>
    <n v="1433"/>
    <n v="408"/>
    <n v="370269"/>
    <n v="2.7682576721248606E-3"/>
    <n v="3.3"/>
    <n v="30575"/>
  </r>
  <r>
    <d v="2024-09-30T00:00:00"/>
    <x v="1"/>
    <n v="250"/>
    <n v="429"/>
    <n v="453423"/>
    <n v="-3.9477485703195471E-4"/>
    <n v="1.77"/>
    <n v="2315"/>
  </r>
  <r>
    <d v="2024-09-30T00:00:00"/>
    <x v="2"/>
    <n v="752"/>
    <n v="153"/>
    <n v="64906"/>
    <n v="9.2287307798970819E-3"/>
    <n v="2.09"/>
    <n v="12148"/>
  </r>
  <r>
    <d v="2024-09-30T00:00:00"/>
    <x v="3"/>
    <n v="1918"/>
    <n v="212"/>
    <n v="94360"/>
    <n v="1.8079694785926241E-2"/>
    <n v="7.36"/>
    <n v="36851"/>
  </r>
  <r>
    <d v="2024-10-07T00:00:00"/>
    <x v="0"/>
    <n v="1939"/>
    <n v="67"/>
    <n v="187183"/>
    <n v="1.0000908202133741E-2"/>
    <n v="6.25"/>
    <n v="41215"/>
  </r>
  <r>
    <d v="2024-10-07T00:00:00"/>
    <x v="1"/>
    <n v="1929"/>
    <n v="267"/>
    <n v="379363"/>
    <n v="4.3810281972675247E-3"/>
    <n v="1.75"/>
    <n v="43836"/>
  </r>
  <r>
    <d v="2024-10-07T00:00:00"/>
    <x v="2"/>
    <n v="437"/>
    <n v="330"/>
    <n v="476486"/>
    <n v="2.2456063766826309E-4"/>
    <n v="4.97"/>
    <n v="4509"/>
  </r>
  <r>
    <d v="2024-10-07T00:00:00"/>
    <x v="3"/>
    <n v="307"/>
    <n v="189"/>
    <n v="117767"/>
    <n v="1.0019784829366461E-3"/>
    <n v="9.3000000000000007"/>
    <n v="27822"/>
  </r>
  <r>
    <d v="2024-10-14T00:00:00"/>
    <x v="0"/>
    <n v="1527"/>
    <n v="303"/>
    <n v="388555"/>
    <n v="3.1501331857780751E-3"/>
    <n v="8.9"/>
    <n v="36397"/>
  </r>
  <r>
    <d v="2024-10-14T00:00:00"/>
    <x v="1"/>
    <n v="643"/>
    <n v="358"/>
    <n v="157599"/>
    <n v="1.8083871090552605E-3"/>
    <n v="3.88"/>
    <n v="7285"/>
  </r>
  <r>
    <d v="2024-10-14T00:00:00"/>
    <x v="2"/>
    <n v="201"/>
    <n v="221"/>
    <n v="309772"/>
    <n v="-6.456361452939582E-5"/>
    <n v="5.9"/>
    <n v="33174"/>
  </r>
  <r>
    <d v="2024-10-14T00:00:00"/>
    <x v="3"/>
    <n v="414"/>
    <n v="47"/>
    <n v="199178"/>
    <n v="1.8425729749269497E-3"/>
    <n v="1.53"/>
    <n v="6742"/>
  </r>
  <r>
    <d v="2024-10-21T00:00:00"/>
    <x v="0"/>
    <n v="703"/>
    <n v="441"/>
    <n v="357089"/>
    <n v="7.3371064356504961E-4"/>
    <n v="6.5"/>
    <n v="32478"/>
  </r>
  <r>
    <d v="2024-10-21T00:00:00"/>
    <x v="1"/>
    <n v="508"/>
    <n v="69"/>
    <n v="23492"/>
    <n v="1.8687212668142345E-2"/>
    <n v="3.16"/>
    <n v="42824"/>
  </r>
  <r>
    <d v="2024-10-21T00:00:00"/>
    <x v="2"/>
    <n v="697"/>
    <n v="61"/>
    <n v="258287"/>
    <n v="2.4623771231227277E-3"/>
    <n v="8.25"/>
    <n v="21208"/>
  </r>
  <r>
    <d v="2024-10-21T00:00:00"/>
    <x v="3"/>
    <n v="1707"/>
    <n v="223"/>
    <n v="256910"/>
    <n v="5.7763419096181542E-3"/>
    <n v="5.41"/>
    <n v="44321"/>
  </r>
  <r>
    <d v="2024-10-28T00:00:00"/>
    <x v="0"/>
    <n v="642"/>
    <n v="66"/>
    <n v="346522"/>
    <n v="1.6622321237901201E-3"/>
    <n v="5.85"/>
    <n v="13116"/>
  </r>
  <r>
    <d v="2024-10-28T00:00:00"/>
    <x v="1"/>
    <n v="859"/>
    <n v="473"/>
    <n v="209987"/>
    <n v="1.8382090319876945E-3"/>
    <n v="4.46"/>
    <n v="30214"/>
  </r>
  <r>
    <d v="2024-10-28T00:00:00"/>
    <x v="2"/>
    <n v="191"/>
    <n v="154"/>
    <n v="240550"/>
    <n v="1.5381417584701726E-4"/>
    <n v="5.22"/>
    <n v="15827"/>
  </r>
  <r>
    <d v="2024-10-28T00:00:00"/>
    <x v="3"/>
    <n v="1814"/>
    <n v="157"/>
    <n v="305827"/>
    <n v="5.4180958515762179E-3"/>
    <n v="1.99"/>
    <n v="46643"/>
  </r>
  <r>
    <d v="2024-11-04T00:00:00"/>
    <x v="0"/>
    <n v="1466"/>
    <n v="69"/>
    <n v="54935"/>
    <n v="2.5430053699827069E-2"/>
    <n v="6.85"/>
    <n v="36484"/>
  </r>
  <r>
    <d v="2024-11-04T00:00:00"/>
    <x v="1"/>
    <n v="947"/>
    <n v="407"/>
    <n v="319186"/>
    <n v="1.6918035252172713E-3"/>
    <n v="3.32"/>
    <n v="4996"/>
  </r>
  <r>
    <d v="2024-11-04T00:00:00"/>
    <x v="2"/>
    <n v="1821"/>
    <n v="218"/>
    <n v="439080"/>
    <n v="3.6508153411678964E-3"/>
    <n v="5.68"/>
    <n v="36095"/>
  </r>
  <r>
    <d v="2024-11-04T00:00:00"/>
    <x v="3"/>
    <n v="1507"/>
    <n v="463"/>
    <n v="258944"/>
    <n v="4.0317597627286209E-3"/>
    <n v="6.08"/>
    <n v="16443"/>
  </r>
  <r>
    <d v="2024-11-11T00:00:00"/>
    <x v="0"/>
    <n v="1075"/>
    <n v="173"/>
    <n v="51395"/>
    <n v="1.7550345364335054E-2"/>
    <n v="4.66"/>
    <n v="47812"/>
  </r>
  <r>
    <d v="2024-11-11T00:00:00"/>
    <x v="1"/>
    <n v="171"/>
    <n v="277"/>
    <n v="309483"/>
    <n v="-3.4250669665215861E-4"/>
    <n v="8.6999999999999993"/>
    <n v="38452"/>
  </r>
  <r>
    <d v="2024-11-11T00:00:00"/>
    <x v="2"/>
    <n v="1487"/>
    <n v="337"/>
    <n v="87305"/>
    <n v="1.3172212358971423E-2"/>
    <n v="2.46"/>
    <n v="30428"/>
  </r>
  <r>
    <d v="2024-11-11T00:00:00"/>
    <x v="3"/>
    <n v="454"/>
    <n v="105"/>
    <n v="121091"/>
    <n v="2.8821299683708945E-3"/>
    <n v="7.97"/>
    <n v="9269"/>
  </r>
  <r>
    <d v="2024-11-18T00:00:00"/>
    <x v="0"/>
    <n v="187"/>
    <n v="236"/>
    <n v="51087"/>
    <n v="-9.5914811987394058E-4"/>
    <n v="9.41"/>
    <n v="29533"/>
  </r>
  <r>
    <d v="2024-11-18T00:00:00"/>
    <x v="1"/>
    <n v="513"/>
    <n v="441"/>
    <n v="338847"/>
    <n v="2.1248528096751631E-4"/>
    <n v="2.68"/>
    <n v="39997"/>
  </r>
  <r>
    <d v="2024-11-18T00:00:00"/>
    <x v="2"/>
    <n v="628"/>
    <n v="183"/>
    <n v="487523"/>
    <n v="9.1277744844858602E-4"/>
    <n v="7.32"/>
    <n v="5391"/>
  </r>
  <r>
    <d v="2024-11-18T00:00:00"/>
    <x v="3"/>
    <n v="278"/>
    <n v="218"/>
    <n v="301695"/>
    <n v="1.9887634863023914E-4"/>
    <n v="4.68"/>
    <n v="22373"/>
  </r>
  <r>
    <d v="2024-11-25T00:00:00"/>
    <x v="0"/>
    <n v="1854"/>
    <n v="161"/>
    <n v="282466"/>
    <n v="5.9936417126309005E-3"/>
    <n v="5.17"/>
    <n v="1810"/>
  </r>
  <r>
    <d v="2024-11-25T00:00:00"/>
    <x v="1"/>
    <n v="1710"/>
    <n v="378"/>
    <n v="336661"/>
    <n v="3.9565022381564839E-3"/>
    <n v="6.2"/>
    <n v="28498"/>
  </r>
  <r>
    <d v="2024-11-25T00:00:00"/>
    <x v="2"/>
    <n v="330"/>
    <n v="232"/>
    <n v="88455"/>
    <n v="1.1079079758069075E-3"/>
    <n v="2.69"/>
    <n v="39530"/>
  </r>
  <r>
    <d v="2024-11-25T00:00:00"/>
    <x v="3"/>
    <n v="1293"/>
    <n v="408"/>
    <n v="62535"/>
    <n v="1.4152074838090669E-2"/>
    <n v="8.9"/>
    <n v="37876"/>
  </r>
  <r>
    <d v="2024-12-02T00:00:00"/>
    <x v="0"/>
    <n v="1696"/>
    <n v="71"/>
    <n v="421957"/>
    <n v="3.8511033114748661E-3"/>
    <n v="3.79"/>
    <n v="36103"/>
  </r>
  <r>
    <d v="2024-12-02T00:00:00"/>
    <x v="1"/>
    <n v="1902"/>
    <n v="196"/>
    <n v="470269"/>
    <n v="3.6277109484146308E-3"/>
    <n v="4.79"/>
    <n v="26103"/>
  </r>
  <r>
    <d v="2024-12-02T00:00:00"/>
    <x v="2"/>
    <n v="1441"/>
    <n v="268"/>
    <n v="309904"/>
    <n v="3.7850431101244257E-3"/>
    <n v="6.37"/>
    <n v="3455"/>
  </r>
  <r>
    <d v="2024-12-02T00:00:00"/>
    <x v="3"/>
    <n v="452"/>
    <n v="161"/>
    <n v="221274"/>
    <n v="1.3151115811166245E-3"/>
    <n v="2.65"/>
    <n v="40888"/>
  </r>
  <r>
    <d v="2024-12-09T00:00:00"/>
    <x v="0"/>
    <n v="1494"/>
    <n v="375"/>
    <n v="220616"/>
    <n v="5.0721615839286359E-3"/>
    <n v="1.81"/>
    <n v="22724"/>
  </r>
  <r>
    <d v="2024-12-09T00:00:00"/>
    <x v="1"/>
    <n v="1514"/>
    <n v="141"/>
    <n v="35842"/>
    <n v="3.8307014117515761E-2"/>
    <n v="7.47"/>
    <n v="18601"/>
  </r>
  <r>
    <d v="2024-12-09T00:00:00"/>
    <x v="2"/>
    <n v="1937"/>
    <n v="210"/>
    <n v="20607"/>
    <n v="8.3806473528412681E-2"/>
    <n v="4.2"/>
    <n v="20861"/>
  </r>
  <r>
    <d v="2024-12-09T00:00:00"/>
    <x v="3"/>
    <n v="736"/>
    <n v="163"/>
    <n v="451894"/>
    <n v="1.2679964770499277E-3"/>
    <n v="5.43"/>
    <n v="46625"/>
  </r>
  <r>
    <d v="2024-12-16T00:00:00"/>
    <x v="0"/>
    <n v="1502"/>
    <n v="70"/>
    <n v="465553"/>
    <n v="3.0759118725472716E-3"/>
    <n v="3.32"/>
    <n v="20692"/>
  </r>
  <r>
    <d v="2024-12-16T00:00:00"/>
    <x v="1"/>
    <n v="1623"/>
    <n v="246"/>
    <n v="415815"/>
    <n v="3.311568846722701E-3"/>
    <n v="8.11"/>
    <n v="18656"/>
  </r>
  <r>
    <d v="2024-12-16T00:00:00"/>
    <x v="2"/>
    <n v="1592"/>
    <n v="233"/>
    <n v="327183"/>
    <n v="4.1536387893013997E-3"/>
    <n v="6.66"/>
    <n v="13316"/>
  </r>
  <r>
    <d v="2024-12-16T00:00:00"/>
    <x v="3"/>
    <n v="1004"/>
    <n v="128"/>
    <n v="488901"/>
    <n v="1.7917737946946315E-3"/>
    <n v="8.09"/>
    <n v="49558"/>
  </r>
  <r>
    <d v="2024-12-23T00:00:00"/>
    <x v="0"/>
    <n v="1092"/>
    <n v="408"/>
    <n v="280795"/>
    <n v="2.4359408109118751E-3"/>
    <n v="8.44"/>
    <n v="4683"/>
  </r>
  <r>
    <d v="2024-12-23T00:00:00"/>
    <x v="1"/>
    <n v="1155"/>
    <n v="425"/>
    <n v="93347"/>
    <n v="7.8202834584935772E-3"/>
    <n v="2.02"/>
    <n v="47502"/>
  </r>
  <r>
    <d v="2024-12-23T00:00:00"/>
    <x v="2"/>
    <n v="1137"/>
    <n v="226"/>
    <n v="81119"/>
    <n v="1.1230414576116569E-2"/>
    <n v="7.74"/>
    <n v="35359"/>
  </r>
  <r>
    <d v="2024-12-23T00:00:00"/>
    <x v="3"/>
    <n v="1900"/>
    <n v="311"/>
    <n v="25177"/>
    <n v="6.3113158835445049E-2"/>
    <n v="2.89"/>
    <n v="14154"/>
  </r>
  <r>
    <d v="2024-12-30T00:00:00"/>
    <x v="0"/>
    <n v="1814"/>
    <n v="49"/>
    <n v="140804"/>
    <n v="1.253515525127127E-2"/>
    <n v="1.76"/>
    <n v="4313"/>
  </r>
  <r>
    <d v="2024-12-30T00:00:00"/>
    <x v="1"/>
    <n v="1980"/>
    <n v="204"/>
    <n v="379431"/>
    <n v="4.6806929323118035E-3"/>
    <n v="3.09"/>
    <n v="25140"/>
  </r>
  <r>
    <d v="2024-12-30T00:00:00"/>
    <x v="2"/>
    <n v="1786"/>
    <n v="257"/>
    <n v="274831"/>
    <n v="5.5634189738421064E-3"/>
    <n v="4.68"/>
    <n v="9118"/>
  </r>
  <r>
    <d v="2024-12-30T00:00:00"/>
    <x v="3"/>
    <n v="1495"/>
    <n v="35"/>
    <n v="136845"/>
    <n v="1.0669005078738719E-2"/>
    <n v="4.4800000000000004"/>
    <n v="39931"/>
  </r>
  <r>
    <d v="2025-01-06T00:00:00"/>
    <x v="0"/>
    <n v="1013"/>
    <n v="110"/>
    <n v="466382"/>
    <n v="1.9361810704529763E-3"/>
    <n v="5.3"/>
    <n v="37132"/>
  </r>
  <r>
    <d v="2025-01-06T00:00:00"/>
    <x v="1"/>
    <n v="816"/>
    <n v="196"/>
    <n v="95728"/>
    <n v="6.4766839378238338E-3"/>
    <n v="8.1999999999999993"/>
    <n v="17951"/>
  </r>
  <r>
    <d v="2025-01-06T00:00:00"/>
    <x v="2"/>
    <n v="1633"/>
    <n v="445"/>
    <n v="371156"/>
    <n v="3.2008104408927781E-3"/>
    <n v="2.2200000000000002"/>
    <n v="2798"/>
  </r>
  <r>
    <d v="2025-01-06T00:00:00"/>
    <x v="3"/>
    <n v="891"/>
    <n v="45"/>
    <n v="95410"/>
    <n v="8.8669950738916262E-3"/>
    <n v="8.33"/>
    <n v="15045"/>
  </r>
  <r>
    <d v="2025-01-13T00:00:00"/>
    <x v="0"/>
    <n v="1855"/>
    <n v="133"/>
    <n v="349413"/>
    <n v="4.9282654051223049E-3"/>
    <n v="3.3"/>
    <n v="14548"/>
  </r>
  <r>
    <d v="2025-01-13T00:00:00"/>
    <x v="1"/>
    <n v="651"/>
    <n v="353"/>
    <n v="224699"/>
    <n v="1.3262186302564765E-3"/>
    <n v="5.61"/>
    <n v="45708"/>
  </r>
  <r>
    <d v="2025-01-13T00:00:00"/>
    <x v="2"/>
    <n v="118"/>
    <n v="262"/>
    <n v="487896"/>
    <n v="-2.9514486693885583E-4"/>
    <n v="2.56"/>
    <n v="12350"/>
  </r>
  <r>
    <d v="2025-01-13T00:00:00"/>
    <x v="3"/>
    <n v="1331"/>
    <n v="430"/>
    <n v="14437"/>
    <n v="6.2409087760615087E-2"/>
    <n v="3.29"/>
    <n v="40868"/>
  </r>
  <r>
    <d v="2025-01-20T00:00:00"/>
    <x v="0"/>
    <n v="1748"/>
    <n v="176"/>
    <n v="383681"/>
    <n v="4.0971536250166149E-3"/>
    <n v="9.24"/>
    <n v="43122"/>
  </r>
  <r>
    <d v="2025-01-20T00:00:00"/>
    <x v="1"/>
    <n v="663"/>
    <n v="236"/>
    <n v="479490"/>
    <n v="8.9052952094934197E-4"/>
    <n v="4.51"/>
    <n v="23853"/>
  </r>
  <r>
    <d v="2025-01-20T00:00:00"/>
    <x v="2"/>
    <n v="1040"/>
    <n v="149"/>
    <n v="124404"/>
    <n v="7.1621491270377159E-3"/>
    <n v="5.23"/>
    <n v="45380"/>
  </r>
  <r>
    <d v="2025-01-20T00:00:00"/>
    <x v="3"/>
    <n v="1166"/>
    <n v="442"/>
    <n v="336949"/>
    <n v="2.1486931256659019E-3"/>
    <n v="4.68"/>
    <n v="7705"/>
  </r>
  <r>
    <d v="2025-01-27T00:00:00"/>
    <x v="0"/>
    <n v="115"/>
    <n v="281"/>
    <n v="357265"/>
    <n v="-4.6464109274628077E-4"/>
    <n v="9.23"/>
    <n v="25525"/>
  </r>
  <r>
    <d v="2025-01-27T00:00:00"/>
    <x v="1"/>
    <n v="1249"/>
    <n v="351"/>
    <n v="321307"/>
    <n v="2.7948348464241365E-3"/>
    <n v="6.37"/>
    <n v="20560"/>
  </r>
  <r>
    <d v="2025-01-27T00:00:00"/>
    <x v="2"/>
    <n v="1501"/>
    <n v="75"/>
    <n v="262569"/>
    <n v="5.4309533874905263E-3"/>
    <n v="2.0099999999999998"/>
    <n v="19119"/>
  </r>
  <r>
    <d v="2025-01-27T00:00:00"/>
    <x v="3"/>
    <n v="1411"/>
    <n v="186"/>
    <n v="461669"/>
    <n v="2.6534161921203288E-3"/>
    <n v="3.72"/>
    <n v="43999"/>
  </r>
  <r>
    <d v="2025-02-03T00:00:00"/>
    <x v="0"/>
    <n v="1556"/>
    <n v="476"/>
    <n v="351556"/>
    <n v="3.0720567989168156E-3"/>
    <n v="3.89"/>
    <n v="10825"/>
  </r>
  <r>
    <d v="2025-02-03T00:00:00"/>
    <x v="1"/>
    <n v="1159"/>
    <n v="411"/>
    <n v="135987"/>
    <n v="5.5005257855530306E-3"/>
    <n v="8.6999999999999993"/>
    <n v="40323"/>
  </r>
  <r>
    <d v="2025-02-03T00:00:00"/>
    <x v="2"/>
    <n v="927"/>
    <n v="358"/>
    <n v="177554"/>
    <n v="3.2046588643454949E-3"/>
    <n v="6.95"/>
    <n v="48270"/>
  </r>
  <r>
    <d v="2025-02-03T00:00:00"/>
    <x v="3"/>
    <n v="152"/>
    <n v="355"/>
    <n v="270766"/>
    <n v="-7.4972485467156139E-4"/>
    <n v="9.48"/>
    <n v="18001"/>
  </r>
  <r>
    <d v="2025-02-10T00:00:00"/>
    <x v="0"/>
    <n v="1957"/>
    <n v="234"/>
    <n v="222126"/>
    <n v="7.7568587198256845E-3"/>
    <n v="4.6100000000000003"/>
    <n v="3314"/>
  </r>
  <r>
    <d v="2025-02-10T00:00:00"/>
    <x v="1"/>
    <n v="1294"/>
    <n v="382"/>
    <n v="309914"/>
    <n v="2.9427518601934728E-3"/>
    <n v="8.0299999999999994"/>
    <n v="23489"/>
  </r>
  <r>
    <d v="2025-02-10T00:00:00"/>
    <x v="2"/>
    <n v="1587"/>
    <n v="385"/>
    <n v="126582"/>
    <n v="9.4958208908059605E-3"/>
    <n v="6.99"/>
    <n v="42832"/>
  </r>
  <r>
    <d v="2025-02-10T00:00:00"/>
    <x v="3"/>
    <n v="1707"/>
    <n v="263"/>
    <n v="485280"/>
    <n v="2.9756017144741179E-3"/>
    <n v="9.0299999999999994"/>
    <n v="24494"/>
  </r>
  <r>
    <d v="2025-02-17T00:00:00"/>
    <x v="0"/>
    <n v="1138"/>
    <n v="173"/>
    <n v="453243"/>
    <n v="2.1291007252180398E-3"/>
    <n v="2.86"/>
    <n v="44097"/>
  </r>
  <r>
    <d v="2025-02-17T00:00:00"/>
    <x v="1"/>
    <n v="1895"/>
    <n v="305"/>
    <n v="104967"/>
    <n v="1.5147617822744291E-2"/>
    <n v="3.85"/>
    <n v="31853"/>
  </r>
  <r>
    <d v="2025-02-17T00:00:00"/>
    <x v="2"/>
    <n v="362"/>
    <n v="399"/>
    <n v="145608"/>
    <n v="-2.5410691720235154E-4"/>
    <n v="7.3"/>
    <n v="37636"/>
  </r>
  <r>
    <d v="2025-02-17T00:00:00"/>
    <x v="3"/>
    <n v="1662"/>
    <n v="487"/>
    <n v="105980"/>
    <n v="1.1086997546706926E-2"/>
    <n v="9.08"/>
    <n v="22996"/>
  </r>
  <r>
    <d v="2025-02-24T00:00:00"/>
    <x v="0"/>
    <n v="1440"/>
    <n v="65"/>
    <n v="126524"/>
    <n v="1.0867503398564699E-2"/>
    <n v="4.34"/>
    <n v="49772"/>
  </r>
  <r>
    <d v="2025-02-24T00:00:00"/>
    <x v="1"/>
    <n v="1884"/>
    <n v="177"/>
    <n v="230448"/>
    <n v="7.4073109768798169E-3"/>
    <n v="7.8"/>
    <n v="22713"/>
  </r>
  <r>
    <d v="2025-02-24T00:00:00"/>
    <x v="2"/>
    <n v="861"/>
    <n v="153"/>
    <n v="317007"/>
    <n v="2.2333891680625349E-3"/>
    <n v="3.85"/>
    <n v="8718"/>
  </r>
  <r>
    <d v="2025-02-24T00:00:00"/>
    <x v="3"/>
    <n v="1063"/>
    <n v="47"/>
    <n v="464239"/>
    <n v="2.1885278918832756E-3"/>
    <n v="6.58"/>
    <n v="39031"/>
  </r>
  <r>
    <d v="2025-03-03T00:00:00"/>
    <x v="0"/>
    <n v="1371"/>
    <n v="56"/>
    <n v="257579"/>
    <n v="5.1052298518124532E-3"/>
    <n v="8.6199999999999992"/>
    <n v="33799"/>
  </r>
  <r>
    <d v="2025-03-03T00:00:00"/>
    <x v="1"/>
    <n v="345"/>
    <n v="464"/>
    <n v="366881"/>
    <n v="-3.2435585380545735E-4"/>
    <n v="4.55"/>
    <n v="20553"/>
  </r>
  <r>
    <d v="2025-03-03T00:00:00"/>
    <x v="2"/>
    <n v="946"/>
    <n v="47"/>
    <n v="466575"/>
    <n v="1.9268070513850934E-3"/>
    <n v="8.33"/>
    <n v="10002"/>
  </r>
  <r>
    <d v="2025-03-03T00:00:00"/>
    <x v="3"/>
    <n v="510"/>
    <n v="195"/>
    <n v="224534"/>
    <n v="1.4029055733207443E-3"/>
    <n v="9.4"/>
    <n v="30987"/>
  </r>
  <r>
    <d v="2025-03-10T00:00:00"/>
    <x v="0"/>
    <n v="393"/>
    <n v="181"/>
    <n v="462142"/>
    <n v="4.5873346287504706E-4"/>
    <n v="7.23"/>
    <n v="6296"/>
  </r>
  <r>
    <d v="2025-03-10T00:00:00"/>
    <x v="1"/>
    <n v="1098"/>
    <n v="190"/>
    <n v="340842"/>
    <n v="2.6639909400836752E-3"/>
    <n v="9.39"/>
    <n v="21539"/>
  </r>
  <r>
    <d v="2025-03-10T00:00:00"/>
    <x v="2"/>
    <n v="1399"/>
    <n v="49"/>
    <n v="12471"/>
    <n v="0.10825114265095021"/>
    <n v="5.12"/>
    <n v="14722"/>
  </r>
  <r>
    <d v="2025-03-10T00:00:00"/>
    <x v="3"/>
    <n v="1658"/>
    <n v="416"/>
    <n v="98397"/>
    <n v="1.2622336046830695E-2"/>
    <n v="6.11"/>
    <n v="11383"/>
  </r>
  <r>
    <d v="2025-03-17T00:00:00"/>
    <x v="0"/>
    <n v="1102"/>
    <n v="422"/>
    <n v="410330"/>
    <n v="1.6572027392586454E-3"/>
    <n v="7.74"/>
    <n v="9480"/>
  </r>
  <r>
    <d v="2025-03-17T00:00:00"/>
    <x v="1"/>
    <n v="1358"/>
    <n v="242"/>
    <n v="342129"/>
    <n v="3.2619275185675578E-3"/>
    <n v="4.9400000000000004"/>
    <n v="29116"/>
  </r>
  <r>
    <d v="2025-03-17T00:00:00"/>
    <x v="2"/>
    <n v="1077"/>
    <n v="216"/>
    <n v="12447"/>
    <n v="6.9173294769824048E-2"/>
    <n v="1.8"/>
    <n v="14068"/>
  </r>
  <r>
    <d v="2025-03-17T00:00:00"/>
    <x v="3"/>
    <n v="1596"/>
    <n v="211"/>
    <n v="17380"/>
    <n v="7.9689298043728429E-2"/>
    <n v="8.64"/>
    <n v="35801"/>
  </r>
  <r>
    <d v="2025-03-24T00:00:00"/>
    <x v="0"/>
    <n v="490"/>
    <n v="29"/>
    <n v="364810"/>
    <n v="1.2636715002329981E-3"/>
    <n v="1.53"/>
    <n v="49077"/>
  </r>
  <r>
    <d v="2025-03-24T00:00:00"/>
    <x v="1"/>
    <n v="609"/>
    <n v="135"/>
    <n v="373606"/>
    <n v="1.268716241173857E-3"/>
    <n v="8.52"/>
    <n v="21453"/>
  </r>
  <r>
    <d v="2025-03-24T00:00:00"/>
    <x v="2"/>
    <n v="364"/>
    <n v="72"/>
    <n v="211090"/>
    <n v="1.3832962243592781E-3"/>
    <n v="5.53"/>
    <n v="21061"/>
  </r>
  <r>
    <d v="2025-03-24T00:00:00"/>
    <x v="3"/>
    <n v="442"/>
    <n v="53"/>
    <n v="441931"/>
    <n v="8.8022790888170322E-4"/>
    <n v="1.87"/>
    <n v="20059"/>
  </r>
  <r>
    <d v="2025-03-31T00:00:00"/>
    <x v="0"/>
    <n v="1033"/>
    <n v="392"/>
    <n v="282780"/>
    <n v="2.2667798288422093E-3"/>
    <n v="6.27"/>
    <n v="23140"/>
  </r>
  <r>
    <d v="2025-03-31T00:00:00"/>
    <x v="1"/>
    <n v="988"/>
    <n v="474"/>
    <n v="370070"/>
    <n v="1.3889264193260734E-3"/>
    <n v="9.4600000000000009"/>
    <n v="23461"/>
  </r>
  <r>
    <d v="2025-03-31T00:00:00"/>
    <x v="2"/>
    <n v="1946"/>
    <n v="270"/>
    <n v="198350"/>
    <n v="8.4497101083942528E-3"/>
    <n v="7.5"/>
    <n v="11805"/>
  </r>
  <r>
    <d v="2025-03-31T00:00:00"/>
    <x v="3"/>
    <n v="1957"/>
    <n v="490"/>
    <n v="435726"/>
    <n v="3.3667947287974553E-3"/>
    <n v="4.7300000000000004"/>
    <n v="15969"/>
  </r>
  <r>
    <d v="2025-04-07T00:00:00"/>
    <x v="0"/>
    <n v="559"/>
    <n v="392"/>
    <n v="78789"/>
    <n v="2.1195852212872357E-3"/>
    <n v="3.19"/>
    <n v="2436"/>
  </r>
  <r>
    <d v="2025-04-07T00:00:00"/>
    <x v="1"/>
    <n v="1307"/>
    <n v="278"/>
    <n v="98596"/>
    <n v="1.0436528865268368E-2"/>
    <n v="2.4900000000000002"/>
    <n v="47603"/>
  </r>
  <r>
    <d v="2025-04-07T00:00:00"/>
    <x v="2"/>
    <n v="1432"/>
    <n v="425"/>
    <n v="29589"/>
    <n v="3.4032917638311531E-2"/>
    <n v="4.5"/>
    <n v="42964"/>
  </r>
  <r>
    <d v="2025-04-07T00:00:00"/>
    <x v="3"/>
    <n v="623"/>
    <n v="414"/>
    <n v="290354"/>
    <n v="7.1981098934404211E-4"/>
    <n v="6.49"/>
    <n v="39923"/>
  </r>
  <r>
    <d v="2025-04-14T00:00:00"/>
    <x v="0"/>
    <n v="198"/>
    <n v="358"/>
    <n v="66682"/>
    <n v="-2.3994481269308059E-3"/>
    <n v="6.73"/>
    <n v="2293"/>
  </r>
  <r>
    <d v="2025-04-14T00:00:00"/>
    <x v="1"/>
    <n v="198"/>
    <n v="373"/>
    <n v="70707"/>
    <n v="-2.4750024750024749E-3"/>
    <n v="4.83"/>
    <n v="25920"/>
  </r>
  <r>
    <d v="2025-04-14T00:00:00"/>
    <x v="2"/>
    <n v="353"/>
    <n v="300"/>
    <n v="142507"/>
    <n v="3.7191155522184875E-4"/>
    <n v="5.3"/>
    <n v="11035"/>
  </r>
  <r>
    <d v="2025-04-14T00:00:00"/>
    <x v="3"/>
    <n v="520"/>
    <n v="375"/>
    <n v="369525"/>
    <n v="3.9239564305527366E-4"/>
    <n v="6.54"/>
    <n v="20733"/>
  </r>
  <r>
    <d v="2025-04-21T00:00:00"/>
    <x v="0"/>
    <n v="961"/>
    <n v="358"/>
    <n v="62942"/>
    <n v="9.5802484827301332E-3"/>
    <n v="6.8"/>
    <n v="18693"/>
  </r>
  <r>
    <d v="2025-04-21T00:00:00"/>
    <x v="1"/>
    <n v="1375"/>
    <n v="330"/>
    <n v="377382"/>
    <n v="2.7690774864725927E-3"/>
    <n v="2.6"/>
    <n v="7875"/>
  </r>
  <r>
    <d v="2025-04-21T00:00:00"/>
    <x v="2"/>
    <n v="1147"/>
    <n v="388"/>
    <n v="333851"/>
    <n v="2.2734693021737242E-3"/>
    <n v="2.44"/>
    <n v="8471"/>
  </r>
  <r>
    <d v="2025-04-21T00:00:00"/>
    <x v="3"/>
    <n v="1707"/>
    <n v="74"/>
    <n v="270958"/>
    <n v="6.0267642955734836E-3"/>
    <n v="3.09"/>
    <n v="14090"/>
  </r>
  <r>
    <d v="2025-04-28T00:00:00"/>
    <x v="0"/>
    <n v="1693"/>
    <n v="154"/>
    <n v="445944"/>
    <n v="3.4511059684624078E-3"/>
    <n v="5.69"/>
    <n v="14216"/>
  </r>
  <r>
    <d v="2025-04-28T00:00:00"/>
    <x v="1"/>
    <n v="833"/>
    <n v="380"/>
    <n v="224830"/>
    <n v="2.014855668727483E-3"/>
    <n v="3.86"/>
    <n v="3582"/>
  </r>
  <r>
    <d v="2025-04-28T00:00:00"/>
    <x v="2"/>
    <n v="1222"/>
    <n v="274"/>
    <n v="487289"/>
    <n v="1.9454574184929272E-3"/>
    <n v="3.16"/>
    <n v="32500"/>
  </r>
  <r>
    <d v="2025-04-28T00:00:00"/>
    <x v="3"/>
    <n v="777"/>
    <n v="140"/>
    <n v="11435"/>
    <n v="5.5706165282028861E-2"/>
    <n v="1.6"/>
    <n v="6832"/>
  </r>
  <r>
    <d v="2025-05-05T00:00:00"/>
    <x v="0"/>
    <n v="1957"/>
    <n v="76"/>
    <n v="447902"/>
    <n v="4.1995793722733989E-3"/>
    <n v="6.09"/>
    <n v="33381"/>
  </r>
  <r>
    <d v="2025-05-05T00:00:00"/>
    <x v="1"/>
    <n v="405"/>
    <n v="66"/>
    <n v="418696"/>
    <n v="8.0965664826031301E-4"/>
    <n v="5.59"/>
    <n v="48419"/>
  </r>
  <r>
    <d v="2025-05-05T00:00:00"/>
    <x v="2"/>
    <n v="1581"/>
    <n v="71"/>
    <n v="484364"/>
    <n v="3.1174901520344203E-3"/>
    <n v="3.55"/>
    <n v="16149"/>
  </r>
  <r>
    <d v="2025-05-05T00:00:00"/>
    <x v="3"/>
    <n v="1035"/>
    <n v="171"/>
    <n v="148477"/>
    <n v="5.8190830903102836E-3"/>
    <n v="5.21"/>
    <n v="7541"/>
  </r>
  <r>
    <d v="2025-05-12T00:00:00"/>
    <x v="0"/>
    <n v="1765"/>
    <n v="109"/>
    <n v="468301"/>
    <n v="3.5361871958419907E-3"/>
    <n v="1.82"/>
    <n v="20042"/>
  </r>
  <r>
    <d v="2025-05-12T00:00:00"/>
    <x v="1"/>
    <n v="837"/>
    <n v="430"/>
    <n v="364820"/>
    <n v="1.1156186612576065E-3"/>
    <n v="4"/>
    <n v="49400"/>
  </r>
  <r>
    <d v="2025-05-12T00:00:00"/>
    <x v="2"/>
    <n v="337"/>
    <n v="68"/>
    <n v="456298"/>
    <n v="5.8952701962314107E-4"/>
    <n v="7.57"/>
    <n v="4007"/>
  </r>
  <r>
    <d v="2025-05-12T00:00:00"/>
    <x v="3"/>
    <n v="119"/>
    <n v="456"/>
    <n v="82558"/>
    <n v="-4.0819787301048958E-3"/>
    <n v="6.81"/>
    <n v="12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21DBC-917C-4A5E-AF1E-1D7281F437A2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B7" firstHeaderRow="1" firstDataRow="1" firstDataCol="1"/>
  <pivotFields count="16">
    <pivotField showAll="0"/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">
    <i>
      <x v="2"/>
    </i>
    <i>
      <x/>
    </i>
    <i>
      <x v="1"/>
    </i>
    <i>
      <x v="3"/>
    </i>
  </rowItems>
  <colItems count="1">
    <i/>
  </colItems>
  <dataFields count="1">
    <dataField name="Average of Engagement Rate" fld="9" subtotal="average" baseField="1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9540CE-3F08-493E-83B7-23F62F5861C6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A3:B7" firstHeaderRow="1" firstDataRow="1" firstDataCol="1"/>
  <pivotFields count="8"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dataField="1" numFmtId="9" showAll="0"/>
    <pivotField showAll="0"/>
    <pivotField showAll="0"/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Average of Growth_rate" fld="5" subtotal="average" baseField="1" baseItem="1" numFmtId="10"/>
  </dataFields>
  <formats count="5">
    <format dxfId="7">
      <pivotArea collapsedLevelsAreSubtotals="1" fieldPosition="0">
        <references count="1">
          <reference field="1" count="1">
            <x v="0"/>
          </reference>
        </references>
      </pivotArea>
    </format>
    <format dxfId="6">
      <pivotArea collapsedLevelsAreSubtotals="1" fieldPosition="0">
        <references count="1">
          <reference field="1" count="1">
            <x v="1"/>
          </reference>
        </references>
      </pivotArea>
    </format>
    <format dxfId="5">
      <pivotArea collapsedLevelsAreSubtotals="1" fieldPosition="0">
        <references count="1">
          <reference field="1" count="1">
            <x v="2"/>
          </reference>
        </references>
      </pivotArea>
    </format>
    <format dxfId="4">
      <pivotArea collapsedLevelsAreSubtotals="1" fieldPosition="0">
        <references count="1">
          <reference field="1" count="1">
            <x v="3"/>
          </reference>
        </references>
      </pivotArea>
    </format>
    <format dxfId="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319E76-AB9B-4F33-874B-D832CDD1FFB5}" name="PivotTable2" cacheId="1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1">
  <location ref="A3:C7" firstHeaderRow="0" firstDataRow="1" firstDataCol="1"/>
  <pivotFields count="8">
    <pivotField numFmtId="14"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numFmtId="9" showAll="0"/>
    <pivotField dataField="1" showAll="0"/>
    <pivotField dataField="1" showAll="0"/>
  </pivotFields>
  <rowFields count="1">
    <field x="1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Average of Engagement_Rate" fld="6" subtotal="average" baseField="1" baseItem="0" numFmtId="2"/>
    <dataField name="Average of Ad_Spend" fld="7" subtotal="average" baseField="1" baseItem="0" numFmtId="2"/>
  </dataFields>
  <formats count="3">
    <format dxfId="2">
      <pivotArea collapsedLevelsAreSubtotals="1" fieldPosition="0">
        <references count="1">
          <reference field="1" count="0"/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595A-0DB9-4FF3-A272-804FCACC05EB}">
  <dimension ref="A3:B7"/>
  <sheetViews>
    <sheetView workbookViewId="0">
      <selection activeCell="B6" sqref="B6"/>
    </sheetView>
  </sheetViews>
  <sheetFormatPr defaultRowHeight="15" x14ac:dyDescent="0.25"/>
  <cols>
    <col min="1" max="1" width="13.140625" bestFit="1" customWidth="1"/>
    <col min="2" max="2" width="27" bestFit="1" customWidth="1"/>
    <col min="3" max="3" width="28.42578125" customWidth="1"/>
  </cols>
  <sheetData>
    <row r="3" spans="1:2" x14ac:dyDescent="0.25">
      <c r="A3" s="3" t="s">
        <v>12</v>
      </c>
      <c r="B3" t="s">
        <v>11</v>
      </c>
    </row>
    <row r="4" spans="1:2" x14ac:dyDescent="0.25">
      <c r="A4" s="4" t="s">
        <v>3</v>
      </c>
      <c r="B4" s="6">
        <v>0.19329257693923488</v>
      </c>
    </row>
    <row r="5" spans="1:2" x14ac:dyDescent="0.25">
      <c r="A5" s="4" t="s">
        <v>1</v>
      </c>
      <c r="B5" s="6">
        <v>0.14368407434207892</v>
      </c>
    </row>
    <row r="6" spans="1:2" x14ac:dyDescent="0.25">
      <c r="A6" s="4" t="s">
        <v>2</v>
      </c>
      <c r="B6" s="6">
        <v>0.13118493770753806</v>
      </c>
    </row>
    <row r="7" spans="1:2" x14ac:dyDescent="0.25">
      <c r="A7" s="4" t="s">
        <v>4</v>
      </c>
      <c r="B7" s="6">
        <v>0.12197289956132547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3C91-E7E3-4EFF-BA31-9BD6B352EEF0}">
  <dimension ref="A3:C19"/>
  <sheetViews>
    <sheetView topLeftCell="A2" workbookViewId="0">
      <selection activeCell="E17" sqref="E17"/>
    </sheetView>
  </sheetViews>
  <sheetFormatPr defaultRowHeight="15" x14ac:dyDescent="0.25"/>
  <cols>
    <col min="1" max="1" width="13.140625" bestFit="1" customWidth="1"/>
    <col min="2" max="2" width="22.7109375" bestFit="1" customWidth="1"/>
  </cols>
  <sheetData>
    <row r="3" spans="1:2" x14ac:dyDescent="0.25">
      <c r="A3" s="3" t="s">
        <v>12</v>
      </c>
      <c r="B3" t="s">
        <v>14</v>
      </c>
    </row>
    <row r="4" spans="1:2" x14ac:dyDescent="0.25">
      <c r="A4" s="4" t="s">
        <v>1</v>
      </c>
      <c r="B4" s="7">
        <v>9.2800256766213396E-3</v>
      </c>
    </row>
    <row r="5" spans="1:2" x14ac:dyDescent="0.25">
      <c r="A5" s="4" t="s">
        <v>2</v>
      </c>
      <c r="B5" s="7">
        <v>9.021066631336009E-3</v>
      </c>
    </row>
    <row r="6" spans="1:2" x14ac:dyDescent="0.25">
      <c r="A6" s="4" t="s">
        <v>3</v>
      </c>
      <c r="B6" s="7">
        <v>5.7625321264951823E-3</v>
      </c>
    </row>
    <row r="7" spans="1:2" x14ac:dyDescent="0.25">
      <c r="A7" s="4" t="s">
        <v>4</v>
      </c>
      <c r="B7" s="7">
        <v>5.4649906832972654E-3</v>
      </c>
    </row>
    <row r="19" spans="3:3" x14ac:dyDescent="0.25">
      <c r="C19" s="9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A0584-AC70-4646-AD14-9D216ADA5613}">
  <dimension ref="A3:C7"/>
  <sheetViews>
    <sheetView tabSelected="1" topLeftCell="A2" workbookViewId="0">
      <selection activeCell="D20" sqref="D20"/>
    </sheetView>
  </sheetViews>
  <sheetFormatPr defaultRowHeight="15" x14ac:dyDescent="0.25"/>
  <cols>
    <col min="1" max="1" width="13.140625" bestFit="1" customWidth="1"/>
    <col min="2" max="2" width="27.5703125" bestFit="1" customWidth="1"/>
    <col min="3" max="3" width="20.28515625" bestFit="1" customWidth="1"/>
  </cols>
  <sheetData>
    <row r="3" spans="1:3" x14ac:dyDescent="0.25">
      <c r="A3" s="3" t="s">
        <v>12</v>
      </c>
      <c r="B3" t="s">
        <v>15</v>
      </c>
      <c r="C3" t="s">
        <v>16</v>
      </c>
    </row>
    <row r="4" spans="1:3" x14ac:dyDescent="0.25">
      <c r="A4" s="4" t="s">
        <v>1</v>
      </c>
      <c r="B4" s="8">
        <v>5.6558000000000002</v>
      </c>
      <c r="C4" s="8">
        <v>21207.14</v>
      </c>
    </row>
    <row r="5" spans="1:3" x14ac:dyDescent="0.25">
      <c r="A5" s="4" t="s">
        <v>2</v>
      </c>
      <c r="B5" s="8">
        <v>5.5587999999999997</v>
      </c>
      <c r="C5" s="8">
        <v>24572.94</v>
      </c>
    </row>
    <row r="6" spans="1:3" x14ac:dyDescent="0.25">
      <c r="A6" s="4" t="s">
        <v>3</v>
      </c>
      <c r="B6" s="8">
        <v>5.7156000000000002</v>
      </c>
      <c r="C6" s="8">
        <v>23287.46</v>
      </c>
    </row>
    <row r="7" spans="1:3" x14ac:dyDescent="0.25">
      <c r="A7" s="4" t="s">
        <v>4</v>
      </c>
      <c r="B7" s="8">
        <v>5.6486000000000001</v>
      </c>
      <c r="C7" s="8">
        <v>27590.78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F2" sqref="F2"/>
    </sheetView>
  </sheetViews>
  <sheetFormatPr defaultColWidth="14.42578125" defaultRowHeight="15" customHeight="1" x14ac:dyDescent="0.25"/>
  <cols>
    <col min="1" max="1" width="19.85546875" customWidth="1"/>
    <col min="2" max="2" width="13.42578125" customWidth="1"/>
    <col min="3" max="3" width="16.140625" customWidth="1"/>
    <col min="4" max="4" width="12.28515625" customWidth="1"/>
    <col min="5" max="6" width="15.140625" customWidth="1"/>
    <col min="7" max="7" width="21.140625" customWidth="1"/>
    <col min="8" max="8" width="12.140625" customWidth="1"/>
    <col min="9" max="27" width="8.7109375" customWidth="1"/>
  </cols>
  <sheetData>
    <row r="1" spans="1:8" ht="14.25" customHeigh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t="s">
        <v>13</v>
      </c>
      <c r="G1" s="1" t="s">
        <v>9</v>
      </c>
      <c r="H1" s="1" t="s">
        <v>10</v>
      </c>
    </row>
    <row r="2" spans="1:8" ht="14.25" customHeight="1" x14ac:dyDescent="0.25">
      <c r="A2" s="2">
        <v>45446</v>
      </c>
      <c r="B2" s="1" t="s">
        <v>3</v>
      </c>
      <c r="C2" s="1">
        <v>1135</v>
      </c>
      <c r="D2" s="1">
        <v>88</v>
      </c>
      <c r="E2" s="1">
        <v>344084</v>
      </c>
      <c r="F2" s="5">
        <f>(C2-D2)/E2</f>
        <v>3.0428616268120576E-3</v>
      </c>
      <c r="G2" s="1">
        <v>8.06</v>
      </c>
      <c r="H2" s="1">
        <v>5904</v>
      </c>
    </row>
    <row r="3" spans="1:8" ht="14.25" customHeight="1" x14ac:dyDescent="0.25">
      <c r="A3" s="2">
        <v>45446</v>
      </c>
      <c r="B3" s="1" t="s">
        <v>4</v>
      </c>
      <c r="C3" s="1">
        <v>1312</v>
      </c>
      <c r="D3" s="1">
        <v>310</v>
      </c>
      <c r="E3" s="1">
        <v>42654</v>
      </c>
      <c r="F3" s="5">
        <f t="shared" ref="F3:F66" si="0">(C3-D3)/E3</f>
        <v>2.3491348994232664E-2</v>
      </c>
      <c r="G3" s="1">
        <v>4.9800000000000004</v>
      </c>
      <c r="H3" s="1">
        <v>9566</v>
      </c>
    </row>
    <row r="4" spans="1:8" ht="14.25" customHeight="1" x14ac:dyDescent="0.25">
      <c r="A4" s="2">
        <v>45446</v>
      </c>
      <c r="B4" s="1" t="s">
        <v>1</v>
      </c>
      <c r="C4" s="1">
        <v>584</v>
      </c>
      <c r="D4" s="1">
        <v>169</v>
      </c>
      <c r="E4" s="1">
        <v>146834</v>
      </c>
      <c r="F4" s="5">
        <f t="shared" si="0"/>
        <v>2.826320879360366E-3</v>
      </c>
      <c r="G4" s="1">
        <v>8.31</v>
      </c>
      <c r="H4" s="1">
        <v>26752</v>
      </c>
    </row>
    <row r="5" spans="1:8" ht="14.25" customHeight="1" x14ac:dyDescent="0.25">
      <c r="A5" s="2">
        <v>45446</v>
      </c>
      <c r="B5" s="1" t="s">
        <v>2</v>
      </c>
      <c r="C5" s="1">
        <v>1535</v>
      </c>
      <c r="D5" s="1">
        <v>445</v>
      </c>
      <c r="E5" s="1">
        <v>395536</v>
      </c>
      <c r="F5" s="5">
        <f t="shared" si="0"/>
        <v>2.7557542170624167E-3</v>
      </c>
      <c r="G5" s="1">
        <v>4.1100000000000003</v>
      </c>
      <c r="H5" s="1">
        <v>30671</v>
      </c>
    </row>
    <row r="6" spans="1:8" ht="14.25" customHeight="1" x14ac:dyDescent="0.25">
      <c r="A6" s="2">
        <v>45453</v>
      </c>
      <c r="B6" s="1" t="s">
        <v>3</v>
      </c>
      <c r="C6" s="1">
        <v>656</v>
      </c>
      <c r="D6" s="1">
        <v>139</v>
      </c>
      <c r="E6" s="1">
        <v>49157</v>
      </c>
      <c r="F6" s="5">
        <f t="shared" si="0"/>
        <v>1.0517322049758936E-2</v>
      </c>
      <c r="G6" s="1">
        <v>9.0500000000000007</v>
      </c>
      <c r="H6" s="1">
        <v>9920</v>
      </c>
    </row>
    <row r="7" spans="1:8" ht="14.25" customHeight="1" x14ac:dyDescent="0.25">
      <c r="A7" s="2">
        <v>45453</v>
      </c>
      <c r="B7" s="1" t="s">
        <v>4</v>
      </c>
      <c r="C7" s="1">
        <v>1697</v>
      </c>
      <c r="D7" s="1">
        <v>414</v>
      </c>
      <c r="E7" s="1">
        <v>316555</v>
      </c>
      <c r="F7" s="5">
        <f t="shared" si="0"/>
        <v>4.0530081660374974E-3</v>
      </c>
      <c r="G7" s="1">
        <v>2.37</v>
      </c>
      <c r="H7" s="1">
        <v>7924</v>
      </c>
    </row>
    <row r="8" spans="1:8" ht="14.25" customHeight="1" x14ac:dyDescent="0.25">
      <c r="A8" s="2">
        <v>45453</v>
      </c>
      <c r="B8" s="1" t="s">
        <v>1</v>
      </c>
      <c r="C8" s="1">
        <v>436</v>
      </c>
      <c r="D8" s="1">
        <v>250</v>
      </c>
      <c r="E8" s="1">
        <v>254347</v>
      </c>
      <c r="F8" s="5">
        <f t="shared" si="0"/>
        <v>7.3128442639386348E-4</v>
      </c>
      <c r="G8" s="1">
        <v>4.01</v>
      </c>
      <c r="H8" s="1">
        <v>8912</v>
      </c>
    </row>
    <row r="9" spans="1:8" ht="14.25" customHeight="1" x14ac:dyDescent="0.25">
      <c r="A9" s="2">
        <v>45453</v>
      </c>
      <c r="B9" s="1" t="s">
        <v>2</v>
      </c>
      <c r="C9" s="1">
        <v>1197</v>
      </c>
      <c r="D9" s="1">
        <v>203</v>
      </c>
      <c r="E9" s="1">
        <v>413878</v>
      </c>
      <c r="F9" s="5">
        <f t="shared" si="0"/>
        <v>2.4016739232334168E-3</v>
      </c>
      <c r="G9" s="1">
        <v>3.16</v>
      </c>
      <c r="H9" s="1">
        <v>21205</v>
      </c>
    </row>
    <row r="10" spans="1:8" ht="14.25" customHeight="1" x14ac:dyDescent="0.25">
      <c r="A10" s="2">
        <v>45460</v>
      </c>
      <c r="B10" s="1" t="s">
        <v>3</v>
      </c>
      <c r="C10" s="1">
        <v>1048</v>
      </c>
      <c r="D10" s="1">
        <v>155</v>
      </c>
      <c r="E10" s="1">
        <v>456946</v>
      </c>
      <c r="F10" s="5">
        <f t="shared" si="0"/>
        <v>1.9542790614208243E-3</v>
      </c>
      <c r="G10" s="1">
        <v>2.46</v>
      </c>
      <c r="H10" s="1">
        <v>11329</v>
      </c>
    </row>
    <row r="11" spans="1:8" ht="14.25" customHeight="1" x14ac:dyDescent="0.25">
      <c r="A11" s="2">
        <v>45460</v>
      </c>
      <c r="B11" s="1" t="s">
        <v>4</v>
      </c>
      <c r="C11" s="1">
        <v>1753</v>
      </c>
      <c r="D11" s="1">
        <v>371</v>
      </c>
      <c r="E11" s="1">
        <v>169496</v>
      </c>
      <c r="F11" s="5">
        <f t="shared" si="0"/>
        <v>8.1535847453627231E-3</v>
      </c>
      <c r="G11" s="1">
        <v>8.11</v>
      </c>
      <c r="H11" s="1">
        <v>46670</v>
      </c>
    </row>
    <row r="12" spans="1:8" ht="14.25" customHeight="1" x14ac:dyDescent="0.25">
      <c r="A12" s="2">
        <v>45460</v>
      </c>
      <c r="B12" s="1" t="s">
        <v>1</v>
      </c>
      <c r="C12" s="1">
        <v>1335</v>
      </c>
      <c r="D12" s="1">
        <v>40</v>
      </c>
      <c r="E12" s="1">
        <v>122732</v>
      </c>
      <c r="F12" s="5">
        <f t="shared" si="0"/>
        <v>1.0551445425805821E-2</v>
      </c>
      <c r="G12" s="1">
        <v>8.19</v>
      </c>
      <c r="H12" s="1">
        <v>22482</v>
      </c>
    </row>
    <row r="13" spans="1:8" ht="14.25" customHeight="1" x14ac:dyDescent="0.25">
      <c r="A13" s="2">
        <v>45460</v>
      </c>
      <c r="B13" s="1" t="s">
        <v>2</v>
      </c>
      <c r="C13" s="1">
        <v>403</v>
      </c>
      <c r="D13" s="1">
        <v>66</v>
      </c>
      <c r="E13" s="1">
        <v>382851</v>
      </c>
      <c r="F13" s="5">
        <f t="shared" si="0"/>
        <v>8.80238003818718E-4</v>
      </c>
      <c r="G13" s="1">
        <v>3.49</v>
      </c>
      <c r="H13" s="1">
        <v>24313</v>
      </c>
    </row>
    <row r="14" spans="1:8" ht="14.25" customHeight="1" x14ac:dyDescent="0.25">
      <c r="A14" s="2">
        <v>45467</v>
      </c>
      <c r="B14" s="1" t="s">
        <v>3</v>
      </c>
      <c r="C14" s="1">
        <v>911</v>
      </c>
      <c r="D14" s="1">
        <v>282</v>
      </c>
      <c r="E14" s="1">
        <v>35664</v>
      </c>
      <c r="F14" s="5">
        <f t="shared" si="0"/>
        <v>1.7636832660385824E-2</v>
      </c>
      <c r="G14" s="1">
        <v>6.92</v>
      </c>
      <c r="H14" s="1">
        <v>18050</v>
      </c>
    </row>
    <row r="15" spans="1:8" ht="14.25" customHeight="1" x14ac:dyDescent="0.25">
      <c r="A15" s="2">
        <v>45467</v>
      </c>
      <c r="B15" s="1" t="s">
        <v>4</v>
      </c>
      <c r="C15" s="1">
        <v>1779</v>
      </c>
      <c r="D15" s="1">
        <v>109</v>
      </c>
      <c r="E15" s="1">
        <v>26295</v>
      </c>
      <c r="F15" s="5">
        <f t="shared" si="0"/>
        <v>6.3510173036698994E-2</v>
      </c>
      <c r="G15" s="1">
        <v>9.1199999999999992</v>
      </c>
      <c r="H15" s="1">
        <v>30635</v>
      </c>
    </row>
    <row r="16" spans="1:8" ht="14.25" customHeight="1" x14ac:dyDescent="0.25">
      <c r="A16" s="2">
        <v>45467</v>
      </c>
      <c r="B16" s="1" t="s">
        <v>1</v>
      </c>
      <c r="C16" s="1">
        <v>1238</v>
      </c>
      <c r="D16" s="1">
        <v>403</v>
      </c>
      <c r="E16" s="1">
        <v>298421</v>
      </c>
      <c r="F16" s="5">
        <f t="shared" si="0"/>
        <v>2.798060458211721E-3</v>
      </c>
      <c r="G16" s="1">
        <v>3.5</v>
      </c>
      <c r="H16" s="1">
        <v>31280</v>
      </c>
    </row>
    <row r="17" spans="1:8" ht="14.25" customHeight="1" x14ac:dyDescent="0.25">
      <c r="A17" s="2">
        <v>45467</v>
      </c>
      <c r="B17" s="1" t="s">
        <v>2</v>
      </c>
      <c r="C17" s="1">
        <v>308</v>
      </c>
      <c r="D17" s="1">
        <v>431</v>
      </c>
      <c r="E17" s="1">
        <v>426184</v>
      </c>
      <c r="F17" s="5">
        <f t="shared" si="0"/>
        <v>-2.8860773750305035E-4</v>
      </c>
      <c r="G17" s="1">
        <v>2.62</v>
      </c>
      <c r="H17" s="1">
        <v>1783</v>
      </c>
    </row>
    <row r="18" spans="1:8" ht="14.25" customHeight="1" x14ac:dyDescent="0.25">
      <c r="A18" s="2">
        <v>45474</v>
      </c>
      <c r="B18" s="1" t="s">
        <v>3</v>
      </c>
      <c r="C18" s="1">
        <v>226</v>
      </c>
      <c r="D18" s="1">
        <v>445</v>
      </c>
      <c r="E18" s="1">
        <v>419447</v>
      </c>
      <c r="F18" s="5">
        <f t="shared" si="0"/>
        <v>-5.2211602419375983E-4</v>
      </c>
      <c r="G18" s="1">
        <v>9.36</v>
      </c>
      <c r="H18" s="1">
        <v>9566</v>
      </c>
    </row>
    <row r="19" spans="1:8" ht="14.25" customHeight="1" x14ac:dyDescent="0.25">
      <c r="A19" s="2">
        <v>45474</v>
      </c>
      <c r="B19" s="1" t="s">
        <v>4</v>
      </c>
      <c r="C19" s="1">
        <v>505</v>
      </c>
      <c r="D19" s="1">
        <v>441</v>
      </c>
      <c r="E19" s="1">
        <v>220020</v>
      </c>
      <c r="F19" s="5">
        <f t="shared" si="0"/>
        <v>2.9088264703208797E-4</v>
      </c>
      <c r="G19" s="1">
        <v>4.4800000000000004</v>
      </c>
      <c r="H19" s="1">
        <v>42307</v>
      </c>
    </row>
    <row r="20" spans="1:8" ht="14.25" customHeight="1" x14ac:dyDescent="0.25">
      <c r="A20" s="2">
        <v>45474</v>
      </c>
      <c r="B20" s="1" t="s">
        <v>1</v>
      </c>
      <c r="C20" s="1">
        <v>1420</v>
      </c>
      <c r="D20" s="1">
        <v>63</v>
      </c>
      <c r="E20" s="1">
        <v>315305</v>
      </c>
      <c r="F20" s="5">
        <f t="shared" si="0"/>
        <v>4.3037693661692649E-3</v>
      </c>
      <c r="G20" s="1">
        <v>6.19</v>
      </c>
      <c r="H20" s="1">
        <v>5914</v>
      </c>
    </row>
    <row r="21" spans="1:8" ht="14.25" customHeight="1" x14ac:dyDescent="0.25">
      <c r="A21" s="2">
        <v>45474</v>
      </c>
      <c r="B21" s="1" t="s">
        <v>2</v>
      </c>
      <c r="C21" s="1">
        <v>144</v>
      </c>
      <c r="D21" s="1">
        <v>53</v>
      </c>
      <c r="E21" s="1">
        <v>113678</v>
      </c>
      <c r="F21" s="5">
        <f t="shared" si="0"/>
        <v>8.0050669434719116E-4</v>
      </c>
      <c r="G21" s="1">
        <v>8.7200000000000006</v>
      </c>
      <c r="H21" s="1">
        <v>30060</v>
      </c>
    </row>
    <row r="22" spans="1:8" ht="14.25" customHeight="1" x14ac:dyDescent="0.25">
      <c r="A22" s="2">
        <v>45481</v>
      </c>
      <c r="B22" s="1" t="s">
        <v>3</v>
      </c>
      <c r="C22" s="1">
        <v>1757</v>
      </c>
      <c r="D22" s="1">
        <v>85</v>
      </c>
      <c r="E22" s="1">
        <v>58223</v>
      </c>
      <c r="F22" s="5">
        <f t="shared" si="0"/>
        <v>2.8717173625543171E-2</v>
      </c>
      <c r="G22" s="1">
        <v>8.74</v>
      </c>
      <c r="H22" s="1">
        <v>22728</v>
      </c>
    </row>
    <row r="23" spans="1:8" ht="14.25" customHeight="1" x14ac:dyDescent="0.25">
      <c r="A23" s="2">
        <v>45481</v>
      </c>
      <c r="B23" s="1" t="s">
        <v>4</v>
      </c>
      <c r="C23" s="1">
        <v>350</v>
      </c>
      <c r="D23" s="1">
        <v>41</v>
      </c>
      <c r="E23" s="1">
        <v>251694</v>
      </c>
      <c r="F23" s="5">
        <f t="shared" si="0"/>
        <v>1.2276812319721568E-3</v>
      </c>
      <c r="G23" s="1">
        <v>1.91</v>
      </c>
      <c r="H23" s="1">
        <v>38610</v>
      </c>
    </row>
    <row r="24" spans="1:8" ht="14.25" customHeight="1" x14ac:dyDescent="0.25">
      <c r="A24" s="2">
        <v>45481</v>
      </c>
      <c r="B24" s="1" t="s">
        <v>1</v>
      </c>
      <c r="C24" s="1">
        <v>987</v>
      </c>
      <c r="D24" s="1">
        <v>440</v>
      </c>
      <c r="E24" s="1">
        <v>389810</v>
      </c>
      <c r="F24" s="5">
        <f t="shared" si="0"/>
        <v>1.40324773607655E-3</v>
      </c>
      <c r="G24" s="1">
        <v>4.66</v>
      </c>
      <c r="H24" s="1">
        <v>2932</v>
      </c>
    </row>
    <row r="25" spans="1:8" ht="14.25" customHeight="1" x14ac:dyDescent="0.25">
      <c r="A25" s="2">
        <v>45481</v>
      </c>
      <c r="B25" s="1" t="s">
        <v>2</v>
      </c>
      <c r="C25" s="1">
        <v>883</v>
      </c>
      <c r="D25" s="1">
        <v>369</v>
      </c>
      <c r="E25" s="1">
        <v>233694</v>
      </c>
      <c r="F25" s="5">
        <f t="shared" si="0"/>
        <v>2.1994574101175039E-3</v>
      </c>
      <c r="G25" s="1">
        <v>2.88</v>
      </c>
      <c r="H25" s="1">
        <v>15071</v>
      </c>
    </row>
    <row r="26" spans="1:8" ht="14.25" customHeight="1" x14ac:dyDescent="0.25">
      <c r="A26" s="2">
        <v>45488</v>
      </c>
      <c r="B26" s="1" t="s">
        <v>3</v>
      </c>
      <c r="C26" s="1">
        <v>1960</v>
      </c>
      <c r="D26" s="1">
        <v>115</v>
      </c>
      <c r="E26" s="1">
        <v>154169</v>
      </c>
      <c r="F26" s="5">
        <f t="shared" si="0"/>
        <v>1.1967386439556591E-2</v>
      </c>
      <c r="G26" s="1">
        <v>3.74</v>
      </c>
      <c r="H26" s="1">
        <v>10740</v>
      </c>
    </row>
    <row r="27" spans="1:8" ht="14.25" customHeight="1" x14ac:dyDescent="0.25">
      <c r="A27" s="2">
        <v>45488</v>
      </c>
      <c r="B27" s="1" t="s">
        <v>4</v>
      </c>
      <c r="C27" s="1">
        <v>170</v>
      </c>
      <c r="D27" s="1">
        <v>334</v>
      </c>
      <c r="E27" s="1">
        <v>334626</v>
      </c>
      <c r="F27" s="5">
        <f t="shared" si="0"/>
        <v>-4.9009939454794306E-4</v>
      </c>
      <c r="G27" s="1">
        <v>6.44</v>
      </c>
      <c r="H27" s="1">
        <v>43420</v>
      </c>
    </row>
    <row r="28" spans="1:8" ht="14.25" customHeight="1" x14ac:dyDescent="0.25">
      <c r="A28" s="2">
        <v>45488</v>
      </c>
      <c r="B28" s="1" t="s">
        <v>1</v>
      </c>
      <c r="C28" s="1">
        <v>704</v>
      </c>
      <c r="D28" s="1">
        <v>275</v>
      </c>
      <c r="E28" s="1">
        <v>226002</v>
      </c>
      <c r="F28" s="5">
        <f t="shared" si="0"/>
        <v>1.8982132901478749E-3</v>
      </c>
      <c r="G28" s="1">
        <v>8.56</v>
      </c>
      <c r="H28" s="1">
        <v>32393</v>
      </c>
    </row>
    <row r="29" spans="1:8" ht="14.25" customHeight="1" x14ac:dyDescent="0.25">
      <c r="A29" s="2">
        <v>45488</v>
      </c>
      <c r="B29" s="1" t="s">
        <v>2</v>
      </c>
      <c r="C29" s="1">
        <v>224</v>
      </c>
      <c r="D29" s="1">
        <v>64</v>
      </c>
      <c r="E29" s="1">
        <v>156683</v>
      </c>
      <c r="F29" s="5">
        <f t="shared" si="0"/>
        <v>1.0211701333265254E-3</v>
      </c>
      <c r="G29" s="1">
        <v>4.5599999999999996</v>
      </c>
      <c r="H29" s="1">
        <v>28474</v>
      </c>
    </row>
    <row r="30" spans="1:8" ht="14.25" customHeight="1" x14ac:dyDescent="0.25">
      <c r="A30" s="2">
        <v>45495</v>
      </c>
      <c r="B30" s="1" t="s">
        <v>3</v>
      </c>
      <c r="C30" s="1">
        <v>508</v>
      </c>
      <c r="D30" s="1">
        <v>349</v>
      </c>
      <c r="E30" s="1">
        <v>473812</v>
      </c>
      <c r="F30" s="5">
        <f t="shared" si="0"/>
        <v>3.3557613568250698E-4</v>
      </c>
      <c r="G30" s="1">
        <v>7.88</v>
      </c>
      <c r="H30" s="1">
        <v>17328</v>
      </c>
    </row>
    <row r="31" spans="1:8" ht="14.25" customHeight="1" x14ac:dyDescent="0.25">
      <c r="A31" s="2">
        <v>45495</v>
      </c>
      <c r="B31" s="1" t="s">
        <v>4</v>
      </c>
      <c r="C31" s="1">
        <v>1391</v>
      </c>
      <c r="D31" s="1">
        <v>430</v>
      </c>
      <c r="E31" s="1">
        <v>295032</v>
      </c>
      <c r="F31" s="5">
        <f t="shared" si="0"/>
        <v>3.2572737872501967E-3</v>
      </c>
      <c r="G31" s="1">
        <v>7.86</v>
      </c>
      <c r="H31" s="1">
        <v>26067</v>
      </c>
    </row>
    <row r="32" spans="1:8" ht="14.25" customHeight="1" x14ac:dyDescent="0.25">
      <c r="A32" s="2">
        <v>45495</v>
      </c>
      <c r="B32" s="1" t="s">
        <v>1</v>
      </c>
      <c r="C32" s="1">
        <v>1701</v>
      </c>
      <c r="D32" s="1">
        <v>385</v>
      </c>
      <c r="E32" s="1">
        <v>198278</v>
      </c>
      <c r="F32" s="5">
        <f t="shared" si="0"/>
        <v>6.6371458255580548E-3</v>
      </c>
      <c r="G32" s="1">
        <v>5.34</v>
      </c>
      <c r="H32" s="1">
        <v>32763</v>
      </c>
    </row>
    <row r="33" spans="1:8" ht="14.25" customHeight="1" x14ac:dyDescent="0.25">
      <c r="A33" s="2">
        <v>45495</v>
      </c>
      <c r="B33" s="1" t="s">
        <v>2</v>
      </c>
      <c r="C33" s="1">
        <v>804</v>
      </c>
      <c r="D33" s="1">
        <v>487</v>
      </c>
      <c r="E33" s="1">
        <v>306564</v>
      </c>
      <c r="F33" s="5">
        <f t="shared" si="0"/>
        <v>1.0340418313957282E-3</v>
      </c>
      <c r="G33" s="1">
        <v>5.52</v>
      </c>
      <c r="H33" s="1">
        <v>26452</v>
      </c>
    </row>
    <row r="34" spans="1:8" ht="14.25" customHeight="1" x14ac:dyDescent="0.25">
      <c r="A34" s="2">
        <v>45502</v>
      </c>
      <c r="B34" s="1" t="s">
        <v>3</v>
      </c>
      <c r="C34" s="1">
        <v>653</v>
      </c>
      <c r="D34" s="1">
        <v>112</v>
      </c>
      <c r="E34" s="1">
        <v>23664</v>
      </c>
      <c r="F34" s="5">
        <f t="shared" si="0"/>
        <v>2.2861730899256253E-2</v>
      </c>
      <c r="G34" s="1">
        <v>4.05</v>
      </c>
      <c r="H34" s="1">
        <v>15353</v>
      </c>
    </row>
    <row r="35" spans="1:8" ht="14.25" customHeight="1" x14ac:dyDescent="0.25">
      <c r="A35" s="2">
        <v>45502</v>
      </c>
      <c r="B35" s="1" t="s">
        <v>4</v>
      </c>
      <c r="C35" s="1">
        <v>160</v>
      </c>
      <c r="D35" s="1">
        <v>478</v>
      </c>
      <c r="E35" s="1">
        <v>435034</v>
      </c>
      <c r="F35" s="5">
        <f t="shared" si="0"/>
        <v>-7.3097734889686784E-4</v>
      </c>
      <c r="G35" s="1">
        <v>7.73</v>
      </c>
      <c r="H35" s="1">
        <v>4839</v>
      </c>
    </row>
    <row r="36" spans="1:8" ht="14.25" customHeight="1" x14ac:dyDescent="0.25">
      <c r="A36" s="2">
        <v>45502</v>
      </c>
      <c r="B36" s="1" t="s">
        <v>1</v>
      </c>
      <c r="C36" s="1">
        <v>1756</v>
      </c>
      <c r="D36" s="1">
        <v>261</v>
      </c>
      <c r="E36" s="1">
        <v>287574</v>
      </c>
      <c r="F36" s="5">
        <f t="shared" si="0"/>
        <v>5.1986619096302169E-3</v>
      </c>
      <c r="G36" s="1">
        <v>4.3600000000000003</v>
      </c>
      <c r="H36" s="1">
        <v>39272</v>
      </c>
    </row>
    <row r="37" spans="1:8" ht="14.25" customHeight="1" x14ac:dyDescent="0.25">
      <c r="A37" s="2">
        <v>45502</v>
      </c>
      <c r="B37" s="1" t="s">
        <v>2</v>
      </c>
      <c r="C37" s="1">
        <v>576</v>
      </c>
      <c r="D37" s="1">
        <v>101</v>
      </c>
      <c r="E37" s="1">
        <v>62499</v>
      </c>
      <c r="F37" s="5">
        <f t="shared" si="0"/>
        <v>7.600121601945631E-3</v>
      </c>
      <c r="G37" s="1">
        <v>3.48</v>
      </c>
      <c r="H37" s="1">
        <v>16804</v>
      </c>
    </row>
    <row r="38" spans="1:8" ht="14.25" customHeight="1" x14ac:dyDescent="0.25">
      <c r="A38" s="2">
        <v>45509</v>
      </c>
      <c r="B38" s="1" t="s">
        <v>3</v>
      </c>
      <c r="C38" s="1">
        <v>645</v>
      </c>
      <c r="D38" s="1">
        <v>293</v>
      </c>
      <c r="E38" s="1">
        <v>437968</v>
      </c>
      <c r="F38" s="5">
        <f t="shared" si="0"/>
        <v>8.0371168669857163E-4</v>
      </c>
      <c r="G38" s="1">
        <v>7.83</v>
      </c>
      <c r="H38" s="1">
        <v>49303</v>
      </c>
    </row>
    <row r="39" spans="1:8" ht="14.25" customHeight="1" x14ac:dyDescent="0.25">
      <c r="A39" s="2">
        <v>45509</v>
      </c>
      <c r="B39" s="1" t="s">
        <v>4</v>
      </c>
      <c r="C39" s="1">
        <v>214</v>
      </c>
      <c r="D39" s="1">
        <v>411</v>
      </c>
      <c r="E39" s="1">
        <v>125034</v>
      </c>
      <c r="F39" s="5">
        <f t="shared" si="0"/>
        <v>-1.5755714445670778E-3</v>
      </c>
      <c r="G39" s="1">
        <v>6.11</v>
      </c>
      <c r="H39" s="1">
        <v>26455</v>
      </c>
    </row>
    <row r="40" spans="1:8" ht="14.25" customHeight="1" x14ac:dyDescent="0.25">
      <c r="A40" s="2">
        <v>45509</v>
      </c>
      <c r="B40" s="1" t="s">
        <v>1</v>
      </c>
      <c r="C40" s="1">
        <v>826</v>
      </c>
      <c r="D40" s="1">
        <v>498</v>
      </c>
      <c r="E40" s="1">
        <v>449994</v>
      </c>
      <c r="F40" s="5">
        <f t="shared" si="0"/>
        <v>7.2889860753698943E-4</v>
      </c>
      <c r="G40" s="1">
        <v>9.43</v>
      </c>
      <c r="H40" s="1">
        <v>12384</v>
      </c>
    </row>
    <row r="41" spans="1:8" ht="14.25" customHeight="1" x14ac:dyDescent="0.25">
      <c r="A41" s="2">
        <v>45509</v>
      </c>
      <c r="B41" s="1" t="s">
        <v>2</v>
      </c>
      <c r="C41" s="1">
        <v>460</v>
      </c>
      <c r="D41" s="1">
        <v>141</v>
      </c>
      <c r="E41" s="1">
        <v>320650</v>
      </c>
      <c r="F41" s="5">
        <f t="shared" si="0"/>
        <v>9.9485420240137223E-4</v>
      </c>
      <c r="G41" s="1">
        <v>4.04</v>
      </c>
      <c r="H41" s="1">
        <v>49372</v>
      </c>
    </row>
    <row r="42" spans="1:8" ht="14.25" customHeight="1" x14ac:dyDescent="0.25">
      <c r="A42" s="2">
        <v>45516</v>
      </c>
      <c r="B42" s="1" t="s">
        <v>3</v>
      </c>
      <c r="C42" s="1">
        <v>1528</v>
      </c>
      <c r="D42" s="1">
        <v>203</v>
      </c>
      <c r="E42" s="1">
        <v>489188</v>
      </c>
      <c r="F42" s="5">
        <f t="shared" si="0"/>
        <v>2.7085701202809553E-3</v>
      </c>
      <c r="G42" s="1">
        <v>6.23</v>
      </c>
      <c r="H42" s="1">
        <v>47101</v>
      </c>
    </row>
    <row r="43" spans="1:8" ht="14.25" customHeight="1" x14ac:dyDescent="0.25">
      <c r="A43" s="2">
        <v>45516</v>
      </c>
      <c r="B43" s="1" t="s">
        <v>4</v>
      </c>
      <c r="C43" s="1">
        <v>1534</v>
      </c>
      <c r="D43" s="1">
        <v>200</v>
      </c>
      <c r="E43" s="1">
        <v>307612</v>
      </c>
      <c r="F43" s="5">
        <f t="shared" si="0"/>
        <v>4.3366318609156986E-3</v>
      </c>
      <c r="G43" s="1">
        <v>6.01</v>
      </c>
      <c r="H43" s="1">
        <v>37903</v>
      </c>
    </row>
    <row r="44" spans="1:8" ht="14.25" customHeight="1" x14ac:dyDescent="0.25">
      <c r="A44" s="2">
        <v>45516</v>
      </c>
      <c r="B44" s="1" t="s">
        <v>1</v>
      </c>
      <c r="C44" s="1">
        <v>485</v>
      </c>
      <c r="D44" s="1">
        <v>448</v>
      </c>
      <c r="E44" s="1">
        <v>434883</v>
      </c>
      <c r="F44" s="5">
        <f t="shared" si="0"/>
        <v>8.5080354946042954E-5</v>
      </c>
      <c r="G44" s="1">
        <v>8.5500000000000007</v>
      </c>
      <c r="H44" s="1">
        <v>33258</v>
      </c>
    </row>
    <row r="45" spans="1:8" ht="14.25" customHeight="1" x14ac:dyDescent="0.25">
      <c r="A45" s="2">
        <v>45516</v>
      </c>
      <c r="B45" s="1" t="s">
        <v>2</v>
      </c>
      <c r="C45" s="1">
        <v>1210</v>
      </c>
      <c r="D45" s="1">
        <v>178</v>
      </c>
      <c r="E45" s="1">
        <v>102042</v>
      </c>
      <c r="F45" s="5">
        <f t="shared" si="0"/>
        <v>1.011348268360087E-2</v>
      </c>
      <c r="G45" s="1">
        <v>5.42</v>
      </c>
      <c r="H45" s="1">
        <v>6915</v>
      </c>
    </row>
    <row r="46" spans="1:8" ht="14.25" customHeight="1" x14ac:dyDescent="0.25">
      <c r="A46" s="2">
        <v>45523</v>
      </c>
      <c r="B46" s="1" t="s">
        <v>3</v>
      </c>
      <c r="C46" s="1">
        <v>215</v>
      </c>
      <c r="D46" s="1">
        <v>139</v>
      </c>
      <c r="E46" s="1">
        <v>325444</v>
      </c>
      <c r="F46" s="5">
        <f t="shared" si="0"/>
        <v>2.335271198731579E-4</v>
      </c>
      <c r="G46" s="1">
        <v>3.25</v>
      </c>
      <c r="H46" s="1">
        <v>35501</v>
      </c>
    </row>
    <row r="47" spans="1:8" ht="14.25" customHeight="1" x14ac:dyDescent="0.25">
      <c r="A47" s="2">
        <v>45523</v>
      </c>
      <c r="B47" s="1" t="s">
        <v>4</v>
      </c>
      <c r="C47" s="1">
        <v>1078</v>
      </c>
      <c r="D47" s="1">
        <v>20</v>
      </c>
      <c r="E47" s="1">
        <v>183924</v>
      </c>
      <c r="F47" s="5">
        <f t="shared" si="0"/>
        <v>5.7523759813836147E-3</v>
      </c>
      <c r="G47" s="1">
        <v>8.84</v>
      </c>
      <c r="H47" s="1">
        <v>14203</v>
      </c>
    </row>
    <row r="48" spans="1:8" ht="14.25" customHeight="1" x14ac:dyDescent="0.25">
      <c r="A48" s="2">
        <v>45523</v>
      </c>
      <c r="B48" s="1" t="s">
        <v>1</v>
      </c>
      <c r="C48" s="1">
        <v>1751</v>
      </c>
      <c r="D48" s="1">
        <v>86</v>
      </c>
      <c r="E48" s="1">
        <v>188655</v>
      </c>
      <c r="F48" s="5">
        <f t="shared" si="0"/>
        <v>8.825634093981077E-3</v>
      </c>
      <c r="G48" s="1">
        <v>7.24</v>
      </c>
      <c r="H48" s="1">
        <v>22206</v>
      </c>
    </row>
    <row r="49" spans="1:8" ht="14.25" customHeight="1" x14ac:dyDescent="0.25">
      <c r="A49" s="2">
        <v>45523</v>
      </c>
      <c r="B49" s="1" t="s">
        <v>2</v>
      </c>
      <c r="C49" s="1">
        <v>221</v>
      </c>
      <c r="D49" s="1">
        <v>31</v>
      </c>
      <c r="E49" s="1">
        <v>87443</v>
      </c>
      <c r="F49" s="5">
        <f t="shared" si="0"/>
        <v>2.1728440241071327E-3</v>
      </c>
      <c r="G49" s="1">
        <v>6.19</v>
      </c>
      <c r="H49" s="1">
        <v>10283</v>
      </c>
    </row>
    <row r="50" spans="1:8" ht="14.25" customHeight="1" x14ac:dyDescent="0.25">
      <c r="A50" s="2">
        <v>45530</v>
      </c>
      <c r="B50" s="1" t="s">
        <v>3</v>
      </c>
      <c r="C50" s="1">
        <v>1685</v>
      </c>
      <c r="D50" s="1">
        <v>76</v>
      </c>
      <c r="E50" s="1">
        <v>453799</v>
      </c>
      <c r="F50" s="5">
        <f t="shared" si="0"/>
        <v>3.5456226214689766E-3</v>
      </c>
      <c r="G50" s="1">
        <v>5.71</v>
      </c>
      <c r="H50" s="1">
        <v>24913</v>
      </c>
    </row>
    <row r="51" spans="1:8" ht="14.25" customHeight="1" x14ac:dyDescent="0.25">
      <c r="A51" s="2">
        <v>45530</v>
      </c>
      <c r="B51" s="1" t="s">
        <v>4</v>
      </c>
      <c r="C51" s="1">
        <v>248</v>
      </c>
      <c r="D51" s="1">
        <v>211</v>
      </c>
      <c r="E51" s="1">
        <v>379380</v>
      </c>
      <c r="F51" s="5">
        <f t="shared" si="0"/>
        <v>9.7527544941747058E-5</v>
      </c>
      <c r="G51" s="1">
        <v>9.0399999999999991</v>
      </c>
      <c r="H51" s="1">
        <v>26925</v>
      </c>
    </row>
    <row r="52" spans="1:8" ht="14.25" customHeight="1" x14ac:dyDescent="0.25">
      <c r="A52" s="2">
        <v>45530</v>
      </c>
      <c r="B52" s="1" t="s">
        <v>1</v>
      </c>
      <c r="C52" s="1">
        <v>1300</v>
      </c>
      <c r="D52" s="1">
        <v>71</v>
      </c>
      <c r="E52" s="1">
        <v>186454</v>
      </c>
      <c r="F52" s="5">
        <f t="shared" si="0"/>
        <v>6.5914381026955706E-3</v>
      </c>
      <c r="G52" s="1">
        <v>3.91</v>
      </c>
      <c r="H52" s="1">
        <v>9942</v>
      </c>
    </row>
    <row r="53" spans="1:8" ht="14.25" customHeight="1" x14ac:dyDescent="0.25">
      <c r="A53" s="2">
        <v>45530</v>
      </c>
      <c r="B53" s="1" t="s">
        <v>2</v>
      </c>
      <c r="C53" s="1">
        <v>422</v>
      </c>
      <c r="D53" s="1">
        <v>394</v>
      </c>
      <c r="E53" s="1">
        <v>239044</v>
      </c>
      <c r="F53" s="5">
        <f t="shared" si="0"/>
        <v>1.1713324743561855E-4</v>
      </c>
      <c r="G53" s="1">
        <v>7.83</v>
      </c>
      <c r="H53" s="1">
        <v>32929</v>
      </c>
    </row>
    <row r="54" spans="1:8" ht="14.25" customHeight="1" x14ac:dyDescent="0.25">
      <c r="A54" s="2">
        <v>45537</v>
      </c>
      <c r="B54" s="1" t="s">
        <v>3</v>
      </c>
      <c r="C54" s="1">
        <v>1429</v>
      </c>
      <c r="D54" s="1">
        <v>182</v>
      </c>
      <c r="E54" s="1">
        <v>101332</v>
      </c>
      <c r="F54" s="5">
        <f t="shared" si="0"/>
        <v>1.2306082974775983E-2</v>
      </c>
      <c r="G54" s="1">
        <v>7.16</v>
      </c>
      <c r="H54" s="1">
        <v>37829</v>
      </c>
    </row>
    <row r="55" spans="1:8" ht="14.25" customHeight="1" x14ac:dyDescent="0.25">
      <c r="A55" s="2">
        <v>45537</v>
      </c>
      <c r="B55" s="1" t="s">
        <v>4</v>
      </c>
      <c r="C55" s="1">
        <v>1520</v>
      </c>
      <c r="D55" s="1">
        <v>475</v>
      </c>
      <c r="E55" s="1">
        <v>496982</v>
      </c>
      <c r="F55" s="5">
        <f t="shared" si="0"/>
        <v>2.1026918479944948E-3</v>
      </c>
      <c r="G55" s="1">
        <v>6.41</v>
      </c>
      <c r="H55" s="1">
        <v>24384</v>
      </c>
    </row>
    <row r="56" spans="1:8" ht="14.25" customHeight="1" x14ac:dyDescent="0.25">
      <c r="A56" s="2">
        <v>45537</v>
      </c>
      <c r="B56" s="1" t="s">
        <v>1</v>
      </c>
      <c r="C56" s="1">
        <v>557</v>
      </c>
      <c r="D56" s="1">
        <v>360</v>
      </c>
      <c r="E56" s="1">
        <v>318779</v>
      </c>
      <c r="F56" s="5">
        <f t="shared" si="0"/>
        <v>6.1798299135137512E-4</v>
      </c>
      <c r="G56" s="1">
        <v>8.02</v>
      </c>
      <c r="H56" s="1">
        <v>25797</v>
      </c>
    </row>
    <row r="57" spans="1:8" ht="14.25" customHeight="1" x14ac:dyDescent="0.25">
      <c r="A57" s="2">
        <v>45537</v>
      </c>
      <c r="B57" s="1" t="s">
        <v>2</v>
      </c>
      <c r="C57" s="1">
        <v>728</v>
      </c>
      <c r="D57" s="1">
        <v>395</v>
      </c>
      <c r="E57" s="1">
        <v>370971</v>
      </c>
      <c r="F57" s="5">
        <f t="shared" si="0"/>
        <v>8.9764429025449434E-4</v>
      </c>
      <c r="G57" s="1">
        <v>3.86</v>
      </c>
      <c r="H57" s="1">
        <v>12646</v>
      </c>
    </row>
    <row r="58" spans="1:8" ht="14.25" customHeight="1" x14ac:dyDescent="0.25">
      <c r="A58" s="2">
        <v>45544</v>
      </c>
      <c r="B58" s="1" t="s">
        <v>3</v>
      </c>
      <c r="C58" s="1">
        <v>1592</v>
      </c>
      <c r="D58" s="1">
        <v>20</v>
      </c>
      <c r="E58" s="1">
        <v>378054</v>
      </c>
      <c r="F58" s="5">
        <f t="shared" si="0"/>
        <v>4.1581361392816901E-3</v>
      </c>
      <c r="G58" s="1">
        <v>9.09</v>
      </c>
      <c r="H58" s="1">
        <v>26663</v>
      </c>
    </row>
    <row r="59" spans="1:8" ht="14.25" customHeight="1" x14ac:dyDescent="0.25">
      <c r="A59" s="2">
        <v>45544</v>
      </c>
      <c r="B59" s="1" t="s">
        <v>4</v>
      </c>
      <c r="C59" s="1">
        <v>1842</v>
      </c>
      <c r="D59" s="1">
        <v>414</v>
      </c>
      <c r="E59" s="1">
        <v>307524</v>
      </c>
      <c r="F59" s="5">
        <f t="shared" si="0"/>
        <v>4.6435400163889647E-3</v>
      </c>
      <c r="G59" s="1">
        <v>1.76</v>
      </c>
      <c r="H59" s="1">
        <v>40478</v>
      </c>
    </row>
    <row r="60" spans="1:8" ht="14.25" customHeight="1" x14ac:dyDescent="0.25">
      <c r="A60" s="2">
        <v>45544</v>
      </c>
      <c r="B60" s="1" t="s">
        <v>1</v>
      </c>
      <c r="C60" s="1">
        <v>751</v>
      </c>
      <c r="D60" s="1">
        <v>491</v>
      </c>
      <c r="E60" s="1">
        <v>434047</v>
      </c>
      <c r="F60" s="5">
        <f t="shared" si="0"/>
        <v>5.990134708914012E-4</v>
      </c>
      <c r="G60" s="1">
        <v>9.24</v>
      </c>
      <c r="H60" s="1">
        <v>15476</v>
      </c>
    </row>
    <row r="61" spans="1:8" ht="14.25" customHeight="1" x14ac:dyDescent="0.25">
      <c r="A61" s="2">
        <v>45544</v>
      </c>
      <c r="B61" s="1" t="s">
        <v>2</v>
      </c>
      <c r="C61" s="1">
        <v>1409</v>
      </c>
      <c r="D61" s="1">
        <v>309</v>
      </c>
      <c r="E61" s="1">
        <v>64583</v>
      </c>
      <c r="F61" s="5">
        <f t="shared" si="0"/>
        <v>1.7032345973398571E-2</v>
      </c>
      <c r="G61" s="1">
        <v>8.99</v>
      </c>
      <c r="H61" s="1">
        <v>10217</v>
      </c>
    </row>
    <row r="62" spans="1:8" ht="14.25" customHeight="1" x14ac:dyDescent="0.25">
      <c r="A62" s="2">
        <v>45551</v>
      </c>
      <c r="B62" s="1" t="s">
        <v>3</v>
      </c>
      <c r="C62" s="1">
        <v>778</v>
      </c>
      <c r="D62" s="1">
        <v>401</v>
      </c>
      <c r="E62" s="1">
        <v>50793</v>
      </c>
      <c r="F62" s="5">
        <f t="shared" si="0"/>
        <v>7.4222825979957871E-3</v>
      </c>
      <c r="G62" s="1">
        <v>3.4</v>
      </c>
      <c r="H62" s="1">
        <v>21939</v>
      </c>
    </row>
    <row r="63" spans="1:8" ht="14.25" customHeight="1" x14ac:dyDescent="0.25">
      <c r="A63" s="2">
        <v>45551</v>
      </c>
      <c r="B63" s="1" t="s">
        <v>4</v>
      </c>
      <c r="C63" s="1">
        <v>443</v>
      </c>
      <c r="D63" s="1">
        <v>345</v>
      </c>
      <c r="E63" s="1">
        <v>474162</v>
      </c>
      <c r="F63" s="5">
        <f t="shared" si="0"/>
        <v>2.0668041724136477E-4</v>
      </c>
      <c r="G63" s="1">
        <v>9.1999999999999993</v>
      </c>
      <c r="H63" s="1">
        <v>47462</v>
      </c>
    </row>
    <row r="64" spans="1:8" ht="14.25" customHeight="1" x14ac:dyDescent="0.25">
      <c r="A64" s="2">
        <v>45551</v>
      </c>
      <c r="B64" s="1" t="s">
        <v>1</v>
      </c>
      <c r="C64" s="1">
        <v>1472</v>
      </c>
      <c r="D64" s="1">
        <v>347</v>
      </c>
      <c r="E64" s="1">
        <v>392355</v>
      </c>
      <c r="F64" s="5">
        <f t="shared" si="0"/>
        <v>2.8673012960201858E-3</v>
      </c>
      <c r="G64" s="1">
        <v>8.59</v>
      </c>
      <c r="H64" s="1">
        <v>30270</v>
      </c>
    </row>
    <row r="65" spans="1:8" ht="14.25" customHeight="1" x14ac:dyDescent="0.25">
      <c r="A65" s="2">
        <v>45551</v>
      </c>
      <c r="B65" s="1" t="s">
        <v>2</v>
      </c>
      <c r="C65" s="1">
        <v>123</v>
      </c>
      <c r="D65" s="1">
        <v>155</v>
      </c>
      <c r="E65" s="1">
        <v>119934</v>
      </c>
      <c r="F65" s="5">
        <f t="shared" si="0"/>
        <v>-2.6681341404439108E-4</v>
      </c>
      <c r="G65" s="1">
        <v>3.5</v>
      </c>
      <c r="H65" s="1">
        <v>5442</v>
      </c>
    </row>
    <row r="66" spans="1:8" ht="14.25" customHeight="1" x14ac:dyDescent="0.25">
      <c r="A66" s="2">
        <v>45558</v>
      </c>
      <c r="B66" s="1" t="s">
        <v>3</v>
      </c>
      <c r="C66" s="1">
        <v>817</v>
      </c>
      <c r="D66" s="1">
        <v>151</v>
      </c>
      <c r="E66" s="1">
        <v>422625</v>
      </c>
      <c r="F66" s="5">
        <f t="shared" si="0"/>
        <v>1.5758651286601596E-3</v>
      </c>
      <c r="G66" s="1">
        <v>2.36</v>
      </c>
      <c r="H66" s="1">
        <v>1083</v>
      </c>
    </row>
    <row r="67" spans="1:8" ht="14.25" customHeight="1" x14ac:dyDescent="0.25">
      <c r="A67" s="2">
        <v>45558</v>
      </c>
      <c r="B67" s="1" t="s">
        <v>4</v>
      </c>
      <c r="C67" s="1">
        <v>198</v>
      </c>
      <c r="D67" s="1">
        <v>217</v>
      </c>
      <c r="E67" s="1">
        <v>239753</v>
      </c>
      <c r="F67" s="5">
        <f t="shared" ref="F67:F130" si="1">(C67-D67)/E67</f>
        <v>-7.9248226299566635E-5</v>
      </c>
      <c r="G67" s="1">
        <v>7.36</v>
      </c>
      <c r="H67" s="1">
        <v>11901</v>
      </c>
    </row>
    <row r="68" spans="1:8" ht="14.25" customHeight="1" x14ac:dyDescent="0.25">
      <c r="A68" s="2">
        <v>45558</v>
      </c>
      <c r="B68" s="1" t="s">
        <v>1</v>
      </c>
      <c r="C68" s="1">
        <v>1911</v>
      </c>
      <c r="D68" s="1">
        <v>231</v>
      </c>
      <c r="E68" s="1">
        <v>268516</v>
      </c>
      <c r="F68" s="5">
        <f t="shared" si="1"/>
        <v>6.2566104068286429E-3</v>
      </c>
      <c r="G68" s="1">
        <v>8.5500000000000007</v>
      </c>
      <c r="H68" s="1">
        <v>24018</v>
      </c>
    </row>
    <row r="69" spans="1:8" ht="14.25" customHeight="1" x14ac:dyDescent="0.25">
      <c r="A69" s="2">
        <v>45558</v>
      </c>
      <c r="B69" s="1" t="s">
        <v>2</v>
      </c>
      <c r="C69" s="1">
        <v>1218</v>
      </c>
      <c r="D69" s="1">
        <v>212</v>
      </c>
      <c r="E69" s="1">
        <v>63177</v>
      </c>
      <c r="F69" s="5">
        <f t="shared" si="1"/>
        <v>1.592351646960128E-2</v>
      </c>
      <c r="G69" s="1">
        <v>8.1300000000000008</v>
      </c>
      <c r="H69" s="1">
        <v>38883</v>
      </c>
    </row>
    <row r="70" spans="1:8" ht="14.25" customHeight="1" x14ac:dyDescent="0.25">
      <c r="A70" s="2">
        <v>45565</v>
      </c>
      <c r="B70" s="1" t="s">
        <v>3</v>
      </c>
      <c r="C70" s="1">
        <v>1433</v>
      </c>
      <c r="D70" s="1">
        <v>408</v>
      </c>
      <c r="E70" s="1">
        <v>370269</v>
      </c>
      <c r="F70" s="5">
        <f t="shared" si="1"/>
        <v>2.7682576721248606E-3</v>
      </c>
      <c r="G70" s="1">
        <v>3.3</v>
      </c>
      <c r="H70" s="1">
        <v>30575</v>
      </c>
    </row>
    <row r="71" spans="1:8" ht="14.25" customHeight="1" x14ac:dyDescent="0.25">
      <c r="A71" s="2">
        <v>45565</v>
      </c>
      <c r="B71" s="1" t="s">
        <v>4</v>
      </c>
      <c r="C71" s="1">
        <v>250</v>
      </c>
      <c r="D71" s="1">
        <v>429</v>
      </c>
      <c r="E71" s="1">
        <v>453423</v>
      </c>
      <c r="F71" s="5">
        <f t="shared" si="1"/>
        <v>-3.9477485703195471E-4</v>
      </c>
      <c r="G71" s="1">
        <v>1.77</v>
      </c>
      <c r="H71" s="1">
        <v>2315</v>
      </c>
    </row>
    <row r="72" spans="1:8" ht="14.25" customHeight="1" x14ac:dyDescent="0.25">
      <c r="A72" s="2">
        <v>45565</v>
      </c>
      <c r="B72" s="1" t="s">
        <v>1</v>
      </c>
      <c r="C72" s="1">
        <v>752</v>
      </c>
      <c r="D72" s="1">
        <v>153</v>
      </c>
      <c r="E72" s="1">
        <v>64906</v>
      </c>
      <c r="F72" s="5">
        <f t="shared" si="1"/>
        <v>9.2287307798970819E-3</v>
      </c>
      <c r="G72" s="1">
        <v>2.09</v>
      </c>
      <c r="H72" s="1">
        <v>12148</v>
      </c>
    </row>
    <row r="73" spans="1:8" ht="14.25" customHeight="1" x14ac:dyDescent="0.25">
      <c r="A73" s="2">
        <v>45565</v>
      </c>
      <c r="B73" s="1" t="s">
        <v>2</v>
      </c>
      <c r="C73" s="1">
        <v>1918</v>
      </c>
      <c r="D73" s="1">
        <v>212</v>
      </c>
      <c r="E73" s="1">
        <v>94360</v>
      </c>
      <c r="F73" s="5">
        <f t="shared" si="1"/>
        <v>1.8079694785926241E-2</v>
      </c>
      <c r="G73" s="1">
        <v>7.36</v>
      </c>
      <c r="H73" s="1">
        <v>36851</v>
      </c>
    </row>
    <row r="74" spans="1:8" ht="14.25" customHeight="1" x14ac:dyDescent="0.25">
      <c r="A74" s="2">
        <v>45572</v>
      </c>
      <c r="B74" s="1" t="s">
        <v>3</v>
      </c>
      <c r="C74" s="1">
        <v>1939</v>
      </c>
      <c r="D74" s="1">
        <v>67</v>
      </c>
      <c r="E74" s="1">
        <v>187183</v>
      </c>
      <c r="F74" s="5">
        <f t="shared" si="1"/>
        <v>1.0000908202133741E-2</v>
      </c>
      <c r="G74" s="1">
        <v>6.25</v>
      </c>
      <c r="H74" s="1">
        <v>41215</v>
      </c>
    </row>
    <row r="75" spans="1:8" ht="14.25" customHeight="1" x14ac:dyDescent="0.25">
      <c r="A75" s="2">
        <v>45572</v>
      </c>
      <c r="B75" s="1" t="s">
        <v>4</v>
      </c>
      <c r="C75" s="1">
        <v>1929</v>
      </c>
      <c r="D75" s="1">
        <v>267</v>
      </c>
      <c r="E75" s="1">
        <v>379363</v>
      </c>
      <c r="F75" s="5">
        <f t="shared" si="1"/>
        <v>4.3810281972675247E-3</v>
      </c>
      <c r="G75" s="1">
        <v>1.75</v>
      </c>
      <c r="H75" s="1">
        <v>43836</v>
      </c>
    </row>
    <row r="76" spans="1:8" ht="14.25" customHeight="1" x14ac:dyDescent="0.25">
      <c r="A76" s="2">
        <v>45572</v>
      </c>
      <c r="B76" s="1" t="s">
        <v>1</v>
      </c>
      <c r="C76" s="1">
        <v>437</v>
      </c>
      <c r="D76" s="1">
        <v>330</v>
      </c>
      <c r="E76" s="1">
        <v>476486</v>
      </c>
      <c r="F76" s="5">
        <f t="shared" si="1"/>
        <v>2.2456063766826309E-4</v>
      </c>
      <c r="G76" s="1">
        <v>4.97</v>
      </c>
      <c r="H76" s="1">
        <v>4509</v>
      </c>
    </row>
    <row r="77" spans="1:8" ht="14.25" customHeight="1" x14ac:dyDescent="0.25">
      <c r="A77" s="2">
        <v>45572</v>
      </c>
      <c r="B77" s="1" t="s">
        <v>2</v>
      </c>
      <c r="C77" s="1">
        <v>307</v>
      </c>
      <c r="D77" s="1">
        <v>189</v>
      </c>
      <c r="E77" s="1">
        <v>117767</v>
      </c>
      <c r="F77" s="5">
        <f t="shared" si="1"/>
        <v>1.0019784829366461E-3</v>
      </c>
      <c r="G77" s="1">
        <v>9.3000000000000007</v>
      </c>
      <c r="H77" s="1">
        <v>27822</v>
      </c>
    </row>
    <row r="78" spans="1:8" ht="14.25" customHeight="1" x14ac:dyDescent="0.25">
      <c r="A78" s="2">
        <v>45579</v>
      </c>
      <c r="B78" s="1" t="s">
        <v>3</v>
      </c>
      <c r="C78" s="1">
        <v>1527</v>
      </c>
      <c r="D78" s="1">
        <v>303</v>
      </c>
      <c r="E78" s="1">
        <v>388555</v>
      </c>
      <c r="F78" s="5">
        <f t="shared" si="1"/>
        <v>3.1501331857780751E-3</v>
      </c>
      <c r="G78" s="1">
        <v>8.9</v>
      </c>
      <c r="H78" s="1">
        <v>36397</v>
      </c>
    </row>
    <row r="79" spans="1:8" ht="14.25" customHeight="1" x14ac:dyDescent="0.25">
      <c r="A79" s="2">
        <v>45579</v>
      </c>
      <c r="B79" s="1" t="s">
        <v>4</v>
      </c>
      <c r="C79" s="1">
        <v>643</v>
      </c>
      <c r="D79" s="1">
        <v>358</v>
      </c>
      <c r="E79" s="1">
        <v>157599</v>
      </c>
      <c r="F79" s="5">
        <f t="shared" si="1"/>
        <v>1.8083871090552605E-3</v>
      </c>
      <c r="G79" s="1">
        <v>3.88</v>
      </c>
      <c r="H79" s="1">
        <v>7285</v>
      </c>
    </row>
    <row r="80" spans="1:8" ht="14.25" customHeight="1" x14ac:dyDescent="0.25">
      <c r="A80" s="2">
        <v>45579</v>
      </c>
      <c r="B80" s="1" t="s">
        <v>1</v>
      </c>
      <c r="C80" s="1">
        <v>201</v>
      </c>
      <c r="D80" s="1">
        <v>221</v>
      </c>
      <c r="E80" s="1">
        <v>309772</v>
      </c>
      <c r="F80" s="5">
        <f t="shared" si="1"/>
        <v>-6.456361452939582E-5</v>
      </c>
      <c r="G80" s="1">
        <v>5.9</v>
      </c>
      <c r="H80" s="1">
        <v>33174</v>
      </c>
    </row>
    <row r="81" spans="1:8" ht="14.25" customHeight="1" x14ac:dyDescent="0.25">
      <c r="A81" s="2">
        <v>45579</v>
      </c>
      <c r="B81" s="1" t="s">
        <v>2</v>
      </c>
      <c r="C81" s="1">
        <v>414</v>
      </c>
      <c r="D81" s="1">
        <v>47</v>
      </c>
      <c r="E81" s="1">
        <v>199178</v>
      </c>
      <c r="F81" s="5">
        <f t="shared" si="1"/>
        <v>1.8425729749269497E-3</v>
      </c>
      <c r="G81" s="1">
        <v>1.53</v>
      </c>
      <c r="H81" s="1">
        <v>6742</v>
      </c>
    </row>
    <row r="82" spans="1:8" ht="14.25" customHeight="1" x14ac:dyDescent="0.25">
      <c r="A82" s="2">
        <v>45586</v>
      </c>
      <c r="B82" s="1" t="s">
        <v>3</v>
      </c>
      <c r="C82" s="1">
        <v>703</v>
      </c>
      <c r="D82" s="1">
        <v>441</v>
      </c>
      <c r="E82" s="1">
        <v>357089</v>
      </c>
      <c r="F82" s="5">
        <f t="shared" si="1"/>
        <v>7.3371064356504961E-4</v>
      </c>
      <c r="G82" s="1">
        <v>6.5</v>
      </c>
      <c r="H82" s="1">
        <v>32478</v>
      </c>
    </row>
    <row r="83" spans="1:8" ht="14.25" customHeight="1" x14ac:dyDescent="0.25">
      <c r="A83" s="2">
        <v>45586</v>
      </c>
      <c r="B83" s="1" t="s">
        <v>4</v>
      </c>
      <c r="C83" s="1">
        <v>508</v>
      </c>
      <c r="D83" s="1">
        <v>69</v>
      </c>
      <c r="E83" s="1">
        <v>23492</v>
      </c>
      <c r="F83" s="5">
        <f t="shared" si="1"/>
        <v>1.8687212668142345E-2</v>
      </c>
      <c r="G83" s="1">
        <v>3.16</v>
      </c>
      <c r="H83" s="1">
        <v>42824</v>
      </c>
    </row>
    <row r="84" spans="1:8" ht="14.25" customHeight="1" x14ac:dyDescent="0.25">
      <c r="A84" s="2">
        <v>45586</v>
      </c>
      <c r="B84" s="1" t="s">
        <v>1</v>
      </c>
      <c r="C84" s="1">
        <v>697</v>
      </c>
      <c r="D84" s="1">
        <v>61</v>
      </c>
      <c r="E84" s="1">
        <v>258287</v>
      </c>
      <c r="F84" s="5">
        <f t="shared" si="1"/>
        <v>2.4623771231227277E-3</v>
      </c>
      <c r="G84" s="1">
        <v>8.25</v>
      </c>
      <c r="H84" s="1">
        <v>21208</v>
      </c>
    </row>
    <row r="85" spans="1:8" ht="14.25" customHeight="1" x14ac:dyDescent="0.25">
      <c r="A85" s="2">
        <v>45586</v>
      </c>
      <c r="B85" s="1" t="s">
        <v>2</v>
      </c>
      <c r="C85" s="1">
        <v>1707</v>
      </c>
      <c r="D85" s="1">
        <v>223</v>
      </c>
      <c r="E85" s="1">
        <v>256910</v>
      </c>
      <c r="F85" s="5">
        <f t="shared" si="1"/>
        <v>5.7763419096181542E-3</v>
      </c>
      <c r="G85" s="1">
        <v>5.41</v>
      </c>
      <c r="H85" s="1">
        <v>44321</v>
      </c>
    </row>
    <row r="86" spans="1:8" ht="14.25" customHeight="1" x14ac:dyDescent="0.25">
      <c r="A86" s="2">
        <v>45593</v>
      </c>
      <c r="B86" s="1" t="s">
        <v>3</v>
      </c>
      <c r="C86" s="1">
        <v>642</v>
      </c>
      <c r="D86" s="1">
        <v>66</v>
      </c>
      <c r="E86" s="1">
        <v>346522</v>
      </c>
      <c r="F86" s="5">
        <f t="shared" si="1"/>
        <v>1.6622321237901201E-3</v>
      </c>
      <c r="G86" s="1">
        <v>5.85</v>
      </c>
      <c r="H86" s="1">
        <v>13116</v>
      </c>
    </row>
    <row r="87" spans="1:8" ht="14.25" customHeight="1" x14ac:dyDescent="0.25">
      <c r="A87" s="2">
        <v>45593</v>
      </c>
      <c r="B87" s="1" t="s">
        <v>4</v>
      </c>
      <c r="C87" s="1">
        <v>859</v>
      </c>
      <c r="D87" s="1">
        <v>473</v>
      </c>
      <c r="E87" s="1">
        <v>209987</v>
      </c>
      <c r="F87" s="5">
        <f t="shared" si="1"/>
        <v>1.8382090319876945E-3</v>
      </c>
      <c r="G87" s="1">
        <v>4.46</v>
      </c>
      <c r="H87" s="1">
        <v>30214</v>
      </c>
    </row>
    <row r="88" spans="1:8" ht="14.25" customHeight="1" x14ac:dyDescent="0.25">
      <c r="A88" s="2">
        <v>45593</v>
      </c>
      <c r="B88" s="1" t="s">
        <v>1</v>
      </c>
      <c r="C88" s="1">
        <v>191</v>
      </c>
      <c r="D88" s="1">
        <v>154</v>
      </c>
      <c r="E88" s="1">
        <v>240550</v>
      </c>
      <c r="F88" s="5">
        <f t="shared" si="1"/>
        <v>1.5381417584701726E-4</v>
      </c>
      <c r="G88" s="1">
        <v>5.22</v>
      </c>
      <c r="H88" s="1">
        <v>15827</v>
      </c>
    </row>
    <row r="89" spans="1:8" ht="14.25" customHeight="1" x14ac:dyDescent="0.25">
      <c r="A89" s="2">
        <v>45593</v>
      </c>
      <c r="B89" s="1" t="s">
        <v>2</v>
      </c>
      <c r="C89" s="1">
        <v>1814</v>
      </c>
      <c r="D89" s="1">
        <v>157</v>
      </c>
      <c r="E89" s="1">
        <v>305827</v>
      </c>
      <c r="F89" s="5">
        <f t="shared" si="1"/>
        <v>5.4180958515762179E-3</v>
      </c>
      <c r="G89" s="1">
        <v>1.99</v>
      </c>
      <c r="H89" s="1">
        <v>46643</v>
      </c>
    </row>
    <row r="90" spans="1:8" ht="14.25" customHeight="1" x14ac:dyDescent="0.25">
      <c r="A90" s="2">
        <v>45600</v>
      </c>
      <c r="B90" s="1" t="s">
        <v>3</v>
      </c>
      <c r="C90" s="1">
        <v>1466</v>
      </c>
      <c r="D90" s="1">
        <v>69</v>
      </c>
      <c r="E90" s="1">
        <v>54935</v>
      </c>
      <c r="F90" s="5">
        <f t="shared" si="1"/>
        <v>2.5430053699827069E-2</v>
      </c>
      <c r="G90" s="1">
        <v>6.85</v>
      </c>
      <c r="H90" s="1">
        <v>36484</v>
      </c>
    </row>
    <row r="91" spans="1:8" ht="14.25" customHeight="1" x14ac:dyDescent="0.25">
      <c r="A91" s="2">
        <v>45600</v>
      </c>
      <c r="B91" s="1" t="s">
        <v>4</v>
      </c>
      <c r="C91" s="1">
        <v>947</v>
      </c>
      <c r="D91" s="1">
        <v>407</v>
      </c>
      <c r="E91" s="1">
        <v>319186</v>
      </c>
      <c r="F91" s="5">
        <f t="shared" si="1"/>
        <v>1.6918035252172713E-3</v>
      </c>
      <c r="G91" s="1">
        <v>3.32</v>
      </c>
      <c r="H91" s="1">
        <v>4996</v>
      </c>
    </row>
    <row r="92" spans="1:8" ht="14.25" customHeight="1" x14ac:dyDescent="0.25">
      <c r="A92" s="2">
        <v>45600</v>
      </c>
      <c r="B92" s="1" t="s">
        <v>1</v>
      </c>
      <c r="C92" s="1">
        <v>1821</v>
      </c>
      <c r="D92" s="1">
        <v>218</v>
      </c>
      <c r="E92" s="1">
        <v>439080</v>
      </c>
      <c r="F92" s="5">
        <f t="shared" si="1"/>
        <v>3.6508153411678964E-3</v>
      </c>
      <c r="G92" s="1">
        <v>5.68</v>
      </c>
      <c r="H92" s="1">
        <v>36095</v>
      </c>
    </row>
    <row r="93" spans="1:8" ht="14.25" customHeight="1" x14ac:dyDescent="0.25">
      <c r="A93" s="2">
        <v>45600</v>
      </c>
      <c r="B93" s="1" t="s">
        <v>2</v>
      </c>
      <c r="C93" s="1">
        <v>1507</v>
      </c>
      <c r="D93" s="1">
        <v>463</v>
      </c>
      <c r="E93" s="1">
        <v>258944</v>
      </c>
      <c r="F93" s="5">
        <f t="shared" si="1"/>
        <v>4.0317597627286209E-3</v>
      </c>
      <c r="G93" s="1">
        <v>6.08</v>
      </c>
      <c r="H93" s="1">
        <v>16443</v>
      </c>
    </row>
    <row r="94" spans="1:8" ht="14.25" customHeight="1" x14ac:dyDescent="0.25">
      <c r="A94" s="2">
        <v>45607</v>
      </c>
      <c r="B94" s="1" t="s">
        <v>3</v>
      </c>
      <c r="C94" s="1">
        <v>1075</v>
      </c>
      <c r="D94" s="1">
        <v>173</v>
      </c>
      <c r="E94" s="1">
        <v>51395</v>
      </c>
      <c r="F94" s="5">
        <f t="shared" si="1"/>
        <v>1.7550345364335054E-2</v>
      </c>
      <c r="G94" s="1">
        <v>4.66</v>
      </c>
      <c r="H94" s="1">
        <v>47812</v>
      </c>
    </row>
    <row r="95" spans="1:8" ht="14.25" customHeight="1" x14ac:dyDescent="0.25">
      <c r="A95" s="2">
        <v>45607</v>
      </c>
      <c r="B95" s="1" t="s">
        <v>4</v>
      </c>
      <c r="C95" s="1">
        <v>171</v>
      </c>
      <c r="D95" s="1">
        <v>277</v>
      </c>
      <c r="E95" s="1">
        <v>309483</v>
      </c>
      <c r="F95" s="5">
        <f t="shared" si="1"/>
        <v>-3.4250669665215861E-4</v>
      </c>
      <c r="G95" s="1">
        <v>8.6999999999999993</v>
      </c>
      <c r="H95" s="1">
        <v>38452</v>
      </c>
    </row>
    <row r="96" spans="1:8" ht="14.25" customHeight="1" x14ac:dyDescent="0.25">
      <c r="A96" s="2">
        <v>45607</v>
      </c>
      <c r="B96" s="1" t="s">
        <v>1</v>
      </c>
      <c r="C96" s="1">
        <v>1487</v>
      </c>
      <c r="D96" s="1">
        <v>337</v>
      </c>
      <c r="E96" s="1">
        <v>87305</v>
      </c>
      <c r="F96" s="5">
        <f t="shared" si="1"/>
        <v>1.3172212358971423E-2</v>
      </c>
      <c r="G96" s="1">
        <v>2.46</v>
      </c>
      <c r="H96" s="1">
        <v>30428</v>
      </c>
    </row>
    <row r="97" spans="1:8" ht="14.25" customHeight="1" x14ac:dyDescent="0.25">
      <c r="A97" s="2">
        <v>45607</v>
      </c>
      <c r="B97" s="1" t="s">
        <v>2</v>
      </c>
      <c r="C97" s="1">
        <v>454</v>
      </c>
      <c r="D97" s="1">
        <v>105</v>
      </c>
      <c r="E97" s="1">
        <v>121091</v>
      </c>
      <c r="F97" s="5">
        <f t="shared" si="1"/>
        <v>2.8821299683708945E-3</v>
      </c>
      <c r="G97" s="1">
        <v>7.97</v>
      </c>
      <c r="H97" s="1">
        <v>9269</v>
      </c>
    </row>
    <row r="98" spans="1:8" ht="14.25" customHeight="1" x14ac:dyDescent="0.25">
      <c r="A98" s="2">
        <v>45614</v>
      </c>
      <c r="B98" s="1" t="s">
        <v>3</v>
      </c>
      <c r="C98" s="1">
        <v>187</v>
      </c>
      <c r="D98" s="1">
        <v>236</v>
      </c>
      <c r="E98" s="1">
        <v>51087</v>
      </c>
      <c r="F98" s="5">
        <f t="shared" si="1"/>
        <v>-9.5914811987394058E-4</v>
      </c>
      <c r="G98" s="1">
        <v>9.41</v>
      </c>
      <c r="H98" s="1">
        <v>29533</v>
      </c>
    </row>
    <row r="99" spans="1:8" ht="14.25" customHeight="1" x14ac:dyDescent="0.25">
      <c r="A99" s="2">
        <v>45614</v>
      </c>
      <c r="B99" s="1" t="s">
        <v>4</v>
      </c>
      <c r="C99" s="1">
        <v>513</v>
      </c>
      <c r="D99" s="1">
        <v>441</v>
      </c>
      <c r="E99" s="1">
        <v>338847</v>
      </c>
      <c r="F99" s="5">
        <f t="shared" si="1"/>
        <v>2.1248528096751631E-4</v>
      </c>
      <c r="G99" s="1">
        <v>2.68</v>
      </c>
      <c r="H99" s="1">
        <v>39997</v>
      </c>
    </row>
    <row r="100" spans="1:8" ht="14.25" customHeight="1" x14ac:dyDescent="0.25">
      <c r="A100" s="2">
        <v>45614</v>
      </c>
      <c r="B100" s="1" t="s">
        <v>1</v>
      </c>
      <c r="C100" s="1">
        <v>628</v>
      </c>
      <c r="D100" s="1">
        <v>183</v>
      </c>
      <c r="E100" s="1">
        <v>487523</v>
      </c>
      <c r="F100" s="5">
        <f t="shared" si="1"/>
        <v>9.1277744844858602E-4</v>
      </c>
      <c r="G100" s="1">
        <v>7.32</v>
      </c>
      <c r="H100" s="1">
        <v>5391</v>
      </c>
    </row>
    <row r="101" spans="1:8" ht="14.25" customHeight="1" x14ac:dyDescent="0.25">
      <c r="A101" s="2">
        <v>45614</v>
      </c>
      <c r="B101" s="1" t="s">
        <v>2</v>
      </c>
      <c r="C101" s="1">
        <v>278</v>
      </c>
      <c r="D101" s="1">
        <v>218</v>
      </c>
      <c r="E101" s="1">
        <v>301695</v>
      </c>
      <c r="F101" s="5">
        <f t="shared" si="1"/>
        <v>1.9887634863023914E-4</v>
      </c>
      <c r="G101" s="1">
        <v>4.68</v>
      </c>
      <c r="H101" s="1">
        <v>22373</v>
      </c>
    </row>
    <row r="102" spans="1:8" ht="14.25" customHeight="1" x14ac:dyDescent="0.25">
      <c r="A102" s="2">
        <v>45621</v>
      </c>
      <c r="B102" s="1" t="s">
        <v>3</v>
      </c>
      <c r="C102" s="1">
        <v>1854</v>
      </c>
      <c r="D102" s="1">
        <v>161</v>
      </c>
      <c r="E102" s="1">
        <v>282466</v>
      </c>
      <c r="F102" s="5">
        <f t="shared" si="1"/>
        <v>5.9936417126309005E-3</v>
      </c>
      <c r="G102" s="1">
        <v>5.17</v>
      </c>
      <c r="H102" s="1">
        <v>1810</v>
      </c>
    </row>
    <row r="103" spans="1:8" ht="14.25" customHeight="1" x14ac:dyDescent="0.25">
      <c r="A103" s="2">
        <v>45621</v>
      </c>
      <c r="B103" s="1" t="s">
        <v>4</v>
      </c>
      <c r="C103" s="1">
        <v>1710</v>
      </c>
      <c r="D103" s="1">
        <v>378</v>
      </c>
      <c r="E103" s="1">
        <v>336661</v>
      </c>
      <c r="F103" s="5">
        <f t="shared" si="1"/>
        <v>3.9565022381564839E-3</v>
      </c>
      <c r="G103" s="1">
        <v>6.2</v>
      </c>
      <c r="H103" s="1">
        <v>28498</v>
      </c>
    </row>
    <row r="104" spans="1:8" ht="14.25" customHeight="1" x14ac:dyDescent="0.25">
      <c r="A104" s="2">
        <v>45621</v>
      </c>
      <c r="B104" s="1" t="s">
        <v>1</v>
      </c>
      <c r="C104" s="1">
        <v>330</v>
      </c>
      <c r="D104" s="1">
        <v>232</v>
      </c>
      <c r="E104" s="1">
        <v>88455</v>
      </c>
      <c r="F104" s="5">
        <f t="shared" si="1"/>
        <v>1.1079079758069075E-3</v>
      </c>
      <c r="G104" s="1">
        <v>2.69</v>
      </c>
      <c r="H104" s="1">
        <v>39530</v>
      </c>
    </row>
    <row r="105" spans="1:8" ht="14.25" customHeight="1" x14ac:dyDescent="0.25">
      <c r="A105" s="2">
        <v>45621</v>
      </c>
      <c r="B105" s="1" t="s">
        <v>2</v>
      </c>
      <c r="C105" s="1">
        <v>1293</v>
      </c>
      <c r="D105" s="1">
        <v>408</v>
      </c>
      <c r="E105" s="1">
        <v>62535</v>
      </c>
      <c r="F105" s="5">
        <f t="shared" si="1"/>
        <v>1.4152074838090669E-2</v>
      </c>
      <c r="G105" s="1">
        <v>8.9</v>
      </c>
      <c r="H105" s="1">
        <v>37876</v>
      </c>
    </row>
    <row r="106" spans="1:8" ht="14.25" customHeight="1" x14ac:dyDescent="0.25">
      <c r="A106" s="2">
        <v>45628</v>
      </c>
      <c r="B106" s="1" t="s">
        <v>3</v>
      </c>
      <c r="C106" s="1">
        <v>1696</v>
      </c>
      <c r="D106" s="1">
        <v>71</v>
      </c>
      <c r="E106" s="1">
        <v>421957</v>
      </c>
      <c r="F106" s="5">
        <f t="shared" si="1"/>
        <v>3.8511033114748661E-3</v>
      </c>
      <c r="G106" s="1">
        <v>3.79</v>
      </c>
      <c r="H106" s="1">
        <v>36103</v>
      </c>
    </row>
    <row r="107" spans="1:8" ht="14.25" customHeight="1" x14ac:dyDescent="0.25">
      <c r="A107" s="2">
        <v>45628</v>
      </c>
      <c r="B107" s="1" t="s">
        <v>4</v>
      </c>
      <c r="C107" s="1">
        <v>1902</v>
      </c>
      <c r="D107" s="1">
        <v>196</v>
      </c>
      <c r="E107" s="1">
        <v>470269</v>
      </c>
      <c r="F107" s="5">
        <f t="shared" si="1"/>
        <v>3.6277109484146308E-3</v>
      </c>
      <c r="G107" s="1">
        <v>4.79</v>
      </c>
      <c r="H107" s="1">
        <v>26103</v>
      </c>
    </row>
    <row r="108" spans="1:8" ht="14.25" customHeight="1" x14ac:dyDescent="0.25">
      <c r="A108" s="2">
        <v>45628</v>
      </c>
      <c r="B108" s="1" t="s">
        <v>1</v>
      </c>
      <c r="C108" s="1">
        <v>1441</v>
      </c>
      <c r="D108" s="1">
        <v>268</v>
      </c>
      <c r="E108" s="1">
        <v>309904</v>
      </c>
      <c r="F108" s="5">
        <f t="shared" si="1"/>
        <v>3.7850431101244257E-3</v>
      </c>
      <c r="G108" s="1">
        <v>6.37</v>
      </c>
      <c r="H108" s="1">
        <v>3455</v>
      </c>
    </row>
    <row r="109" spans="1:8" ht="14.25" customHeight="1" x14ac:dyDescent="0.25">
      <c r="A109" s="2">
        <v>45628</v>
      </c>
      <c r="B109" s="1" t="s">
        <v>2</v>
      </c>
      <c r="C109" s="1">
        <v>452</v>
      </c>
      <c r="D109" s="1">
        <v>161</v>
      </c>
      <c r="E109" s="1">
        <v>221274</v>
      </c>
      <c r="F109" s="5">
        <f t="shared" si="1"/>
        <v>1.3151115811166245E-3</v>
      </c>
      <c r="G109" s="1">
        <v>2.65</v>
      </c>
      <c r="H109" s="1">
        <v>40888</v>
      </c>
    </row>
    <row r="110" spans="1:8" ht="14.25" customHeight="1" x14ac:dyDescent="0.25">
      <c r="A110" s="2">
        <v>45635</v>
      </c>
      <c r="B110" s="1" t="s">
        <v>3</v>
      </c>
      <c r="C110" s="1">
        <v>1494</v>
      </c>
      <c r="D110" s="1">
        <v>375</v>
      </c>
      <c r="E110" s="1">
        <v>220616</v>
      </c>
      <c r="F110" s="5">
        <f t="shared" si="1"/>
        <v>5.0721615839286359E-3</v>
      </c>
      <c r="G110" s="1">
        <v>1.81</v>
      </c>
      <c r="H110" s="1">
        <v>22724</v>
      </c>
    </row>
    <row r="111" spans="1:8" ht="14.25" customHeight="1" x14ac:dyDescent="0.25">
      <c r="A111" s="2">
        <v>45635</v>
      </c>
      <c r="B111" s="1" t="s">
        <v>4</v>
      </c>
      <c r="C111" s="1">
        <v>1514</v>
      </c>
      <c r="D111" s="1">
        <v>141</v>
      </c>
      <c r="E111" s="1">
        <v>35842</v>
      </c>
      <c r="F111" s="5">
        <f t="shared" si="1"/>
        <v>3.8307014117515761E-2</v>
      </c>
      <c r="G111" s="1">
        <v>7.47</v>
      </c>
      <c r="H111" s="1">
        <v>18601</v>
      </c>
    </row>
    <row r="112" spans="1:8" ht="14.25" customHeight="1" x14ac:dyDescent="0.25">
      <c r="A112" s="2">
        <v>45635</v>
      </c>
      <c r="B112" s="1" t="s">
        <v>1</v>
      </c>
      <c r="C112" s="1">
        <v>1937</v>
      </c>
      <c r="D112" s="1">
        <v>210</v>
      </c>
      <c r="E112" s="1">
        <v>20607</v>
      </c>
      <c r="F112" s="5">
        <f t="shared" si="1"/>
        <v>8.3806473528412681E-2</v>
      </c>
      <c r="G112" s="1">
        <v>4.2</v>
      </c>
      <c r="H112" s="1">
        <v>20861</v>
      </c>
    </row>
    <row r="113" spans="1:8" ht="14.25" customHeight="1" x14ac:dyDescent="0.25">
      <c r="A113" s="2">
        <v>45635</v>
      </c>
      <c r="B113" s="1" t="s">
        <v>2</v>
      </c>
      <c r="C113" s="1">
        <v>736</v>
      </c>
      <c r="D113" s="1">
        <v>163</v>
      </c>
      <c r="E113" s="1">
        <v>451894</v>
      </c>
      <c r="F113" s="5">
        <f t="shared" si="1"/>
        <v>1.2679964770499277E-3</v>
      </c>
      <c r="G113" s="1">
        <v>5.43</v>
      </c>
      <c r="H113" s="1">
        <v>46625</v>
      </c>
    </row>
    <row r="114" spans="1:8" ht="14.25" customHeight="1" x14ac:dyDescent="0.25">
      <c r="A114" s="2">
        <v>45642</v>
      </c>
      <c r="B114" s="1" t="s">
        <v>3</v>
      </c>
      <c r="C114" s="1">
        <v>1502</v>
      </c>
      <c r="D114" s="1">
        <v>70</v>
      </c>
      <c r="E114" s="1">
        <v>465553</v>
      </c>
      <c r="F114" s="5">
        <f t="shared" si="1"/>
        <v>3.0759118725472716E-3</v>
      </c>
      <c r="G114" s="1">
        <v>3.32</v>
      </c>
      <c r="H114" s="1">
        <v>20692</v>
      </c>
    </row>
    <row r="115" spans="1:8" ht="14.25" customHeight="1" x14ac:dyDescent="0.25">
      <c r="A115" s="2">
        <v>45642</v>
      </c>
      <c r="B115" s="1" t="s">
        <v>4</v>
      </c>
      <c r="C115" s="1">
        <v>1623</v>
      </c>
      <c r="D115" s="1">
        <v>246</v>
      </c>
      <c r="E115" s="1">
        <v>415815</v>
      </c>
      <c r="F115" s="5">
        <f t="shared" si="1"/>
        <v>3.311568846722701E-3</v>
      </c>
      <c r="G115" s="1">
        <v>8.11</v>
      </c>
      <c r="H115" s="1">
        <v>18656</v>
      </c>
    </row>
    <row r="116" spans="1:8" ht="14.25" customHeight="1" x14ac:dyDescent="0.25">
      <c r="A116" s="2">
        <v>45642</v>
      </c>
      <c r="B116" s="1" t="s">
        <v>1</v>
      </c>
      <c r="C116" s="1">
        <v>1592</v>
      </c>
      <c r="D116" s="1">
        <v>233</v>
      </c>
      <c r="E116" s="1">
        <v>327183</v>
      </c>
      <c r="F116" s="5">
        <f t="shared" si="1"/>
        <v>4.1536387893013997E-3</v>
      </c>
      <c r="G116" s="1">
        <v>6.66</v>
      </c>
      <c r="H116" s="1">
        <v>13316</v>
      </c>
    </row>
    <row r="117" spans="1:8" ht="14.25" customHeight="1" x14ac:dyDescent="0.25">
      <c r="A117" s="2">
        <v>45642</v>
      </c>
      <c r="B117" s="1" t="s">
        <v>2</v>
      </c>
      <c r="C117" s="1">
        <v>1004</v>
      </c>
      <c r="D117" s="1">
        <v>128</v>
      </c>
      <c r="E117" s="1">
        <v>488901</v>
      </c>
      <c r="F117" s="5">
        <f t="shared" si="1"/>
        <v>1.7917737946946315E-3</v>
      </c>
      <c r="G117" s="1">
        <v>8.09</v>
      </c>
      <c r="H117" s="1">
        <v>49558</v>
      </c>
    </row>
    <row r="118" spans="1:8" ht="14.25" customHeight="1" x14ac:dyDescent="0.25">
      <c r="A118" s="2">
        <v>45649</v>
      </c>
      <c r="B118" s="1" t="s">
        <v>3</v>
      </c>
      <c r="C118" s="1">
        <v>1092</v>
      </c>
      <c r="D118" s="1">
        <v>408</v>
      </c>
      <c r="E118" s="1">
        <v>280795</v>
      </c>
      <c r="F118" s="5">
        <f t="shared" si="1"/>
        <v>2.4359408109118751E-3</v>
      </c>
      <c r="G118" s="1">
        <v>8.44</v>
      </c>
      <c r="H118" s="1">
        <v>4683</v>
      </c>
    </row>
    <row r="119" spans="1:8" ht="14.25" customHeight="1" x14ac:dyDescent="0.25">
      <c r="A119" s="2">
        <v>45649</v>
      </c>
      <c r="B119" s="1" t="s">
        <v>4</v>
      </c>
      <c r="C119" s="1">
        <v>1155</v>
      </c>
      <c r="D119" s="1">
        <v>425</v>
      </c>
      <c r="E119" s="1">
        <v>93347</v>
      </c>
      <c r="F119" s="5">
        <f t="shared" si="1"/>
        <v>7.8202834584935772E-3</v>
      </c>
      <c r="G119" s="1">
        <v>2.02</v>
      </c>
      <c r="H119" s="1">
        <v>47502</v>
      </c>
    </row>
    <row r="120" spans="1:8" ht="14.25" customHeight="1" x14ac:dyDescent="0.25">
      <c r="A120" s="2">
        <v>45649</v>
      </c>
      <c r="B120" s="1" t="s">
        <v>1</v>
      </c>
      <c r="C120" s="1">
        <v>1137</v>
      </c>
      <c r="D120" s="1">
        <v>226</v>
      </c>
      <c r="E120" s="1">
        <v>81119</v>
      </c>
      <c r="F120" s="5">
        <f t="shared" si="1"/>
        <v>1.1230414576116569E-2</v>
      </c>
      <c r="G120" s="1">
        <v>7.74</v>
      </c>
      <c r="H120" s="1">
        <v>35359</v>
      </c>
    </row>
    <row r="121" spans="1:8" ht="14.25" customHeight="1" x14ac:dyDescent="0.25">
      <c r="A121" s="2">
        <v>45649</v>
      </c>
      <c r="B121" s="1" t="s">
        <v>2</v>
      </c>
      <c r="C121" s="1">
        <v>1900</v>
      </c>
      <c r="D121" s="1">
        <v>311</v>
      </c>
      <c r="E121" s="1">
        <v>25177</v>
      </c>
      <c r="F121" s="5">
        <f t="shared" si="1"/>
        <v>6.3113158835445049E-2</v>
      </c>
      <c r="G121" s="1">
        <v>2.89</v>
      </c>
      <c r="H121" s="1">
        <v>14154</v>
      </c>
    </row>
    <row r="122" spans="1:8" ht="14.25" customHeight="1" x14ac:dyDescent="0.25">
      <c r="A122" s="2">
        <v>45656</v>
      </c>
      <c r="B122" s="1" t="s">
        <v>3</v>
      </c>
      <c r="C122" s="1">
        <v>1814</v>
      </c>
      <c r="D122" s="1">
        <v>49</v>
      </c>
      <c r="E122" s="1">
        <v>140804</v>
      </c>
      <c r="F122" s="5">
        <f t="shared" si="1"/>
        <v>1.253515525127127E-2</v>
      </c>
      <c r="G122" s="1">
        <v>1.76</v>
      </c>
      <c r="H122" s="1">
        <v>4313</v>
      </c>
    </row>
    <row r="123" spans="1:8" ht="14.25" customHeight="1" x14ac:dyDescent="0.25">
      <c r="A123" s="2">
        <v>45656</v>
      </c>
      <c r="B123" s="1" t="s">
        <v>4</v>
      </c>
      <c r="C123" s="1">
        <v>1980</v>
      </c>
      <c r="D123" s="1">
        <v>204</v>
      </c>
      <c r="E123" s="1">
        <v>379431</v>
      </c>
      <c r="F123" s="5">
        <f t="shared" si="1"/>
        <v>4.6806929323118035E-3</v>
      </c>
      <c r="G123" s="1">
        <v>3.09</v>
      </c>
      <c r="H123" s="1">
        <v>25140</v>
      </c>
    </row>
    <row r="124" spans="1:8" ht="14.25" customHeight="1" x14ac:dyDescent="0.25">
      <c r="A124" s="2">
        <v>45656</v>
      </c>
      <c r="B124" s="1" t="s">
        <v>1</v>
      </c>
      <c r="C124" s="1">
        <v>1786</v>
      </c>
      <c r="D124" s="1">
        <v>257</v>
      </c>
      <c r="E124" s="1">
        <v>274831</v>
      </c>
      <c r="F124" s="5">
        <f t="shared" si="1"/>
        <v>5.5634189738421064E-3</v>
      </c>
      <c r="G124" s="1">
        <v>4.68</v>
      </c>
      <c r="H124" s="1">
        <v>9118</v>
      </c>
    </row>
    <row r="125" spans="1:8" ht="14.25" customHeight="1" x14ac:dyDescent="0.25">
      <c r="A125" s="2">
        <v>45656</v>
      </c>
      <c r="B125" s="1" t="s">
        <v>2</v>
      </c>
      <c r="C125" s="1">
        <v>1495</v>
      </c>
      <c r="D125" s="1">
        <v>35</v>
      </c>
      <c r="E125" s="1">
        <v>136845</v>
      </c>
      <c r="F125" s="5">
        <f t="shared" si="1"/>
        <v>1.0669005078738719E-2</v>
      </c>
      <c r="G125" s="1">
        <v>4.4800000000000004</v>
      </c>
      <c r="H125" s="1">
        <v>39931</v>
      </c>
    </row>
    <row r="126" spans="1:8" ht="14.25" customHeight="1" x14ac:dyDescent="0.25">
      <c r="A126" s="2">
        <v>45663</v>
      </c>
      <c r="B126" s="1" t="s">
        <v>3</v>
      </c>
      <c r="C126" s="1">
        <v>1013</v>
      </c>
      <c r="D126" s="1">
        <v>110</v>
      </c>
      <c r="E126" s="1">
        <v>466382</v>
      </c>
      <c r="F126" s="5">
        <f t="shared" si="1"/>
        <v>1.9361810704529763E-3</v>
      </c>
      <c r="G126" s="1">
        <v>5.3</v>
      </c>
      <c r="H126" s="1">
        <v>37132</v>
      </c>
    </row>
    <row r="127" spans="1:8" ht="14.25" customHeight="1" x14ac:dyDescent="0.25">
      <c r="A127" s="2">
        <v>45663</v>
      </c>
      <c r="B127" s="1" t="s">
        <v>4</v>
      </c>
      <c r="C127" s="1">
        <v>816</v>
      </c>
      <c r="D127" s="1">
        <v>196</v>
      </c>
      <c r="E127" s="1">
        <v>95728</v>
      </c>
      <c r="F127" s="5">
        <f t="shared" si="1"/>
        <v>6.4766839378238338E-3</v>
      </c>
      <c r="G127" s="1">
        <v>8.1999999999999993</v>
      </c>
      <c r="H127" s="1">
        <v>17951</v>
      </c>
    </row>
    <row r="128" spans="1:8" ht="14.25" customHeight="1" x14ac:dyDescent="0.25">
      <c r="A128" s="2">
        <v>45663</v>
      </c>
      <c r="B128" s="1" t="s">
        <v>1</v>
      </c>
      <c r="C128" s="1">
        <v>1633</v>
      </c>
      <c r="D128" s="1">
        <v>445</v>
      </c>
      <c r="E128" s="1">
        <v>371156</v>
      </c>
      <c r="F128" s="5">
        <f t="shared" si="1"/>
        <v>3.2008104408927781E-3</v>
      </c>
      <c r="G128" s="1">
        <v>2.2200000000000002</v>
      </c>
      <c r="H128" s="1">
        <v>2798</v>
      </c>
    </row>
    <row r="129" spans="1:8" ht="14.25" customHeight="1" x14ac:dyDescent="0.25">
      <c r="A129" s="2">
        <v>45663</v>
      </c>
      <c r="B129" s="1" t="s">
        <v>2</v>
      </c>
      <c r="C129" s="1">
        <v>891</v>
      </c>
      <c r="D129" s="1">
        <v>45</v>
      </c>
      <c r="E129" s="1">
        <v>95410</v>
      </c>
      <c r="F129" s="5">
        <f t="shared" si="1"/>
        <v>8.8669950738916262E-3</v>
      </c>
      <c r="G129" s="1">
        <v>8.33</v>
      </c>
      <c r="H129" s="1">
        <v>15045</v>
      </c>
    </row>
    <row r="130" spans="1:8" ht="14.25" customHeight="1" x14ac:dyDescent="0.25">
      <c r="A130" s="2">
        <v>45670</v>
      </c>
      <c r="B130" s="1" t="s">
        <v>3</v>
      </c>
      <c r="C130" s="1">
        <v>1855</v>
      </c>
      <c r="D130" s="1">
        <v>133</v>
      </c>
      <c r="E130" s="1">
        <v>349413</v>
      </c>
      <c r="F130" s="5">
        <f t="shared" si="1"/>
        <v>4.9282654051223049E-3</v>
      </c>
      <c r="G130" s="1">
        <v>3.3</v>
      </c>
      <c r="H130" s="1">
        <v>14548</v>
      </c>
    </row>
    <row r="131" spans="1:8" ht="14.25" customHeight="1" x14ac:dyDescent="0.25">
      <c r="A131" s="2">
        <v>45670</v>
      </c>
      <c r="B131" s="1" t="s">
        <v>4</v>
      </c>
      <c r="C131" s="1">
        <v>651</v>
      </c>
      <c r="D131" s="1">
        <v>353</v>
      </c>
      <c r="E131" s="1">
        <v>224699</v>
      </c>
      <c r="F131" s="5">
        <f t="shared" ref="F131:F194" si="2">(C131-D131)/E131</f>
        <v>1.3262186302564765E-3</v>
      </c>
      <c r="G131" s="1">
        <v>5.61</v>
      </c>
      <c r="H131" s="1">
        <v>45708</v>
      </c>
    </row>
    <row r="132" spans="1:8" ht="14.25" customHeight="1" x14ac:dyDescent="0.25">
      <c r="A132" s="2">
        <v>45670</v>
      </c>
      <c r="B132" s="1" t="s">
        <v>1</v>
      </c>
      <c r="C132" s="1">
        <v>118</v>
      </c>
      <c r="D132" s="1">
        <v>262</v>
      </c>
      <c r="E132" s="1">
        <v>487896</v>
      </c>
      <c r="F132" s="5">
        <f t="shared" si="2"/>
        <v>-2.9514486693885583E-4</v>
      </c>
      <c r="G132" s="1">
        <v>2.56</v>
      </c>
      <c r="H132" s="1">
        <v>12350</v>
      </c>
    </row>
    <row r="133" spans="1:8" ht="14.25" customHeight="1" x14ac:dyDescent="0.25">
      <c r="A133" s="2">
        <v>45670</v>
      </c>
      <c r="B133" s="1" t="s">
        <v>2</v>
      </c>
      <c r="C133" s="1">
        <v>1331</v>
      </c>
      <c r="D133" s="1">
        <v>430</v>
      </c>
      <c r="E133" s="1">
        <v>14437</v>
      </c>
      <c r="F133" s="5">
        <f t="shared" si="2"/>
        <v>6.2409087760615087E-2</v>
      </c>
      <c r="G133" s="1">
        <v>3.29</v>
      </c>
      <c r="H133" s="1">
        <v>40868</v>
      </c>
    </row>
    <row r="134" spans="1:8" ht="14.25" customHeight="1" x14ac:dyDescent="0.25">
      <c r="A134" s="2">
        <v>45677</v>
      </c>
      <c r="B134" s="1" t="s">
        <v>3</v>
      </c>
      <c r="C134" s="1">
        <v>1748</v>
      </c>
      <c r="D134" s="1">
        <v>176</v>
      </c>
      <c r="E134" s="1">
        <v>383681</v>
      </c>
      <c r="F134" s="5">
        <f t="shared" si="2"/>
        <v>4.0971536250166149E-3</v>
      </c>
      <c r="G134" s="1">
        <v>9.24</v>
      </c>
      <c r="H134" s="1">
        <v>43122</v>
      </c>
    </row>
    <row r="135" spans="1:8" ht="14.25" customHeight="1" x14ac:dyDescent="0.25">
      <c r="A135" s="2">
        <v>45677</v>
      </c>
      <c r="B135" s="1" t="s">
        <v>4</v>
      </c>
      <c r="C135" s="1">
        <v>663</v>
      </c>
      <c r="D135" s="1">
        <v>236</v>
      </c>
      <c r="E135" s="1">
        <v>479490</v>
      </c>
      <c r="F135" s="5">
        <f t="shared" si="2"/>
        <v>8.9052952094934197E-4</v>
      </c>
      <c r="G135" s="1">
        <v>4.51</v>
      </c>
      <c r="H135" s="1">
        <v>23853</v>
      </c>
    </row>
    <row r="136" spans="1:8" ht="14.25" customHeight="1" x14ac:dyDescent="0.25">
      <c r="A136" s="2">
        <v>45677</v>
      </c>
      <c r="B136" s="1" t="s">
        <v>1</v>
      </c>
      <c r="C136" s="1">
        <v>1040</v>
      </c>
      <c r="D136" s="1">
        <v>149</v>
      </c>
      <c r="E136" s="1">
        <v>124404</v>
      </c>
      <c r="F136" s="5">
        <f t="shared" si="2"/>
        <v>7.1621491270377159E-3</v>
      </c>
      <c r="G136" s="1">
        <v>5.23</v>
      </c>
      <c r="H136" s="1">
        <v>45380</v>
      </c>
    </row>
    <row r="137" spans="1:8" ht="14.25" customHeight="1" x14ac:dyDescent="0.25">
      <c r="A137" s="2">
        <v>45677</v>
      </c>
      <c r="B137" s="1" t="s">
        <v>2</v>
      </c>
      <c r="C137" s="1">
        <v>1166</v>
      </c>
      <c r="D137" s="1">
        <v>442</v>
      </c>
      <c r="E137" s="1">
        <v>336949</v>
      </c>
      <c r="F137" s="5">
        <f t="shared" si="2"/>
        <v>2.1486931256659019E-3</v>
      </c>
      <c r="G137" s="1">
        <v>4.68</v>
      </c>
      <c r="H137" s="1">
        <v>7705</v>
      </c>
    </row>
    <row r="138" spans="1:8" ht="14.25" customHeight="1" x14ac:dyDescent="0.25">
      <c r="A138" s="2">
        <v>45684</v>
      </c>
      <c r="B138" s="1" t="s">
        <v>3</v>
      </c>
      <c r="C138" s="1">
        <v>115</v>
      </c>
      <c r="D138" s="1">
        <v>281</v>
      </c>
      <c r="E138" s="1">
        <v>357265</v>
      </c>
      <c r="F138" s="5">
        <f t="shared" si="2"/>
        <v>-4.6464109274628077E-4</v>
      </c>
      <c r="G138" s="1">
        <v>9.23</v>
      </c>
      <c r="H138" s="1">
        <v>25525</v>
      </c>
    </row>
    <row r="139" spans="1:8" ht="14.25" customHeight="1" x14ac:dyDescent="0.25">
      <c r="A139" s="2">
        <v>45684</v>
      </c>
      <c r="B139" s="1" t="s">
        <v>4</v>
      </c>
      <c r="C139" s="1">
        <v>1249</v>
      </c>
      <c r="D139" s="1">
        <v>351</v>
      </c>
      <c r="E139" s="1">
        <v>321307</v>
      </c>
      <c r="F139" s="5">
        <f t="shared" si="2"/>
        <v>2.7948348464241365E-3</v>
      </c>
      <c r="G139" s="1">
        <v>6.37</v>
      </c>
      <c r="H139" s="1">
        <v>20560</v>
      </c>
    </row>
    <row r="140" spans="1:8" ht="14.25" customHeight="1" x14ac:dyDescent="0.25">
      <c r="A140" s="2">
        <v>45684</v>
      </c>
      <c r="B140" s="1" t="s">
        <v>1</v>
      </c>
      <c r="C140" s="1">
        <v>1501</v>
      </c>
      <c r="D140" s="1">
        <v>75</v>
      </c>
      <c r="E140" s="1">
        <v>262569</v>
      </c>
      <c r="F140" s="5">
        <f t="shared" si="2"/>
        <v>5.4309533874905263E-3</v>
      </c>
      <c r="G140" s="1">
        <v>2.0099999999999998</v>
      </c>
      <c r="H140" s="1">
        <v>19119</v>
      </c>
    </row>
    <row r="141" spans="1:8" ht="14.25" customHeight="1" x14ac:dyDescent="0.25">
      <c r="A141" s="2">
        <v>45684</v>
      </c>
      <c r="B141" s="1" t="s">
        <v>2</v>
      </c>
      <c r="C141" s="1">
        <v>1411</v>
      </c>
      <c r="D141" s="1">
        <v>186</v>
      </c>
      <c r="E141" s="1">
        <v>461669</v>
      </c>
      <c r="F141" s="5">
        <f t="shared" si="2"/>
        <v>2.6534161921203288E-3</v>
      </c>
      <c r="G141" s="1">
        <v>3.72</v>
      </c>
      <c r="H141" s="1">
        <v>43999</v>
      </c>
    </row>
    <row r="142" spans="1:8" ht="14.25" customHeight="1" x14ac:dyDescent="0.25">
      <c r="A142" s="2">
        <v>45691</v>
      </c>
      <c r="B142" s="1" t="s">
        <v>3</v>
      </c>
      <c r="C142" s="1">
        <v>1556</v>
      </c>
      <c r="D142" s="1">
        <v>476</v>
      </c>
      <c r="E142" s="1">
        <v>351556</v>
      </c>
      <c r="F142" s="5">
        <f t="shared" si="2"/>
        <v>3.0720567989168156E-3</v>
      </c>
      <c r="G142" s="1">
        <v>3.89</v>
      </c>
      <c r="H142" s="1">
        <v>10825</v>
      </c>
    </row>
    <row r="143" spans="1:8" ht="14.25" customHeight="1" x14ac:dyDescent="0.25">
      <c r="A143" s="2">
        <v>45691</v>
      </c>
      <c r="B143" s="1" t="s">
        <v>4</v>
      </c>
      <c r="C143" s="1">
        <v>1159</v>
      </c>
      <c r="D143" s="1">
        <v>411</v>
      </c>
      <c r="E143" s="1">
        <v>135987</v>
      </c>
      <c r="F143" s="5">
        <f t="shared" si="2"/>
        <v>5.5005257855530306E-3</v>
      </c>
      <c r="G143" s="1">
        <v>8.6999999999999993</v>
      </c>
      <c r="H143" s="1">
        <v>40323</v>
      </c>
    </row>
    <row r="144" spans="1:8" ht="14.25" customHeight="1" x14ac:dyDescent="0.25">
      <c r="A144" s="2">
        <v>45691</v>
      </c>
      <c r="B144" s="1" t="s">
        <v>1</v>
      </c>
      <c r="C144" s="1">
        <v>927</v>
      </c>
      <c r="D144" s="1">
        <v>358</v>
      </c>
      <c r="E144" s="1">
        <v>177554</v>
      </c>
      <c r="F144" s="5">
        <f t="shared" si="2"/>
        <v>3.2046588643454949E-3</v>
      </c>
      <c r="G144" s="1">
        <v>6.95</v>
      </c>
      <c r="H144" s="1">
        <v>48270</v>
      </c>
    </row>
    <row r="145" spans="1:8" ht="14.25" customHeight="1" x14ac:dyDescent="0.25">
      <c r="A145" s="2">
        <v>45691</v>
      </c>
      <c r="B145" s="1" t="s">
        <v>2</v>
      </c>
      <c r="C145" s="1">
        <v>152</v>
      </c>
      <c r="D145" s="1">
        <v>355</v>
      </c>
      <c r="E145" s="1">
        <v>270766</v>
      </c>
      <c r="F145" s="5">
        <f t="shared" si="2"/>
        <v>-7.4972485467156139E-4</v>
      </c>
      <c r="G145" s="1">
        <v>9.48</v>
      </c>
      <c r="H145" s="1">
        <v>18001</v>
      </c>
    </row>
    <row r="146" spans="1:8" ht="14.25" customHeight="1" x14ac:dyDescent="0.25">
      <c r="A146" s="2">
        <v>45698</v>
      </c>
      <c r="B146" s="1" t="s">
        <v>3</v>
      </c>
      <c r="C146" s="1">
        <v>1957</v>
      </c>
      <c r="D146" s="1">
        <v>234</v>
      </c>
      <c r="E146" s="1">
        <v>222126</v>
      </c>
      <c r="F146" s="5">
        <f t="shared" si="2"/>
        <v>7.7568587198256845E-3</v>
      </c>
      <c r="G146" s="1">
        <v>4.6100000000000003</v>
      </c>
      <c r="H146" s="1">
        <v>3314</v>
      </c>
    </row>
    <row r="147" spans="1:8" ht="14.25" customHeight="1" x14ac:dyDescent="0.25">
      <c r="A147" s="2">
        <v>45698</v>
      </c>
      <c r="B147" s="1" t="s">
        <v>4</v>
      </c>
      <c r="C147" s="1">
        <v>1294</v>
      </c>
      <c r="D147" s="1">
        <v>382</v>
      </c>
      <c r="E147" s="1">
        <v>309914</v>
      </c>
      <c r="F147" s="5">
        <f t="shared" si="2"/>
        <v>2.9427518601934728E-3</v>
      </c>
      <c r="G147" s="1">
        <v>8.0299999999999994</v>
      </c>
      <c r="H147" s="1">
        <v>23489</v>
      </c>
    </row>
    <row r="148" spans="1:8" ht="14.25" customHeight="1" x14ac:dyDescent="0.25">
      <c r="A148" s="2">
        <v>45698</v>
      </c>
      <c r="B148" s="1" t="s">
        <v>1</v>
      </c>
      <c r="C148" s="1">
        <v>1587</v>
      </c>
      <c r="D148" s="1">
        <v>385</v>
      </c>
      <c r="E148" s="1">
        <v>126582</v>
      </c>
      <c r="F148" s="5">
        <f t="shared" si="2"/>
        <v>9.4958208908059605E-3</v>
      </c>
      <c r="G148" s="1">
        <v>6.99</v>
      </c>
      <c r="H148" s="1">
        <v>42832</v>
      </c>
    </row>
    <row r="149" spans="1:8" ht="14.25" customHeight="1" x14ac:dyDescent="0.25">
      <c r="A149" s="2">
        <v>45698</v>
      </c>
      <c r="B149" s="1" t="s">
        <v>2</v>
      </c>
      <c r="C149" s="1">
        <v>1707</v>
      </c>
      <c r="D149" s="1">
        <v>263</v>
      </c>
      <c r="E149" s="1">
        <v>485280</v>
      </c>
      <c r="F149" s="5">
        <f t="shared" si="2"/>
        <v>2.9756017144741179E-3</v>
      </c>
      <c r="G149" s="1">
        <v>9.0299999999999994</v>
      </c>
      <c r="H149" s="1">
        <v>24494</v>
      </c>
    </row>
    <row r="150" spans="1:8" ht="14.25" customHeight="1" x14ac:dyDescent="0.25">
      <c r="A150" s="2">
        <v>45705</v>
      </c>
      <c r="B150" s="1" t="s">
        <v>3</v>
      </c>
      <c r="C150" s="1">
        <v>1138</v>
      </c>
      <c r="D150" s="1">
        <v>173</v>
      </c>
      <c r="E150" s="1">
        <v>453243</v>
      </c>
      <c r="F150" s="5">
        <f t="shared" si="2"/>
        <v>2.1291007252180398E-3</v>
      </c>
      <c r="G150" s="1">
        <v>2.86</v>
      </c>
      <c r="H150" s="1">
        <v>44097</v>
      </c>
    </row>
    <row r="151" spans="1:8" ht="14.25" customHeight="1" x14ac:dyDescent="0.25">
      <c r="A151" s="2">
        <v>45705</v>
      </c>
      <c r="B151" s="1" t="s">
        <v>4</v>
      </c>
      <c r="C151" s="1">
        <v>1895</v>
      </c>
      <c r="D151" s="1">
        <v>305</v>
      </c>
      <c r="E151" s="1">
        <v>104967</v>
      </c>
      <c r="F151" s="5">
        <f t="shared" si="2"/>
        <v>1.5147617822744291E-2</v>
      </c>
      <c r="G151" s="1">
        <v>3.85</v>
      </c>
      <c r="H151" s="1">
        <v>31853</v>
      </c>
    </row>
    <row r="152" spans="1:8" ht="14.25" customHeight="1" x14ac:dyDescent="0.25">
      <c r="A152" s="2">
        <v>45705</v>
      </c>
      <c r="B152" s="1" t="s">
        <v>1</v>
      </c>
      <c r="C152" s="1">
        <v>362</v>
      </c>
      <c r="D152" s="1">
        <v>399</v>
      </c>
      <c r="E152" s="1">
        <v>145608</v>
      </c>
      <c r="F152" s="5">
        <f t="shared" si="2"/>
        <v>-2.5410691720235154E-4</v>
      </c>
      <c r="G152" s="1">
        <v>7.3</v>
      </c>
      <c r="H152" s="1">
        <v>37636</v>
      </c>
    </row>
    <row r="153" spans="1:8" ht="14.25" customHeight="1" x14ac:dyDescent="0.25">
      <c r="A153" s="2">
        <v>45705</v>
      </c>
      <c r="B153" s="1" t="s">
        <v>2</v>
      </c>
      <c r="C153" s="1">
        <v>1662</v>
      </c>
      <c r="D153" s="1">
        <v>487</v>
      </c>
      <c r="E153" s="1">
        <v>105980</v>
      </c>
      <c r="F153" s="5">
        <f t="shared" si="2"/>
        <v>1.1086997546706926E-2</v>
      </c>
      <c r="G153" s="1">
        <v>9.08</v>
      </c>
      <c r="H153" s="1">
        <v>22996</v>
      </c>
    </row>
    <row r="154" spans="1:8" ht="14.25" customHeight="1" x14ac:dyDescent="0.25">
      <c r="A154" s="2">
        <v>45712</v>
      </c>
      <c r="B154" s="1" t="s">
        <v>3</v>
      </c>
      <c r="C154" s="1">
        <v>1440</v>
      </c>
      <c r="D154" s="1">
        <v>65</v>
      </c>
      <c r="E154" s="1">
        <v>126524</v>
      </c>
      <c r="F154" s="5">
        <f t="shared" si="2"/>
        <v>1.0867503398564699E-2</v>
      </c>
      <c r="G154" s="1">
        <v>4.34</v>
      </c>
      <c r="H154" s="1">
        <v>49772</v>
      </c>
    </row>
    <row r="155" spans="1:8" ht="14.25" customHeight="1" x14ac:dyDescent="0.25">
      <c r="A155" s="2">
        <v>45712</v>
      </c>
      <c r="B155" s="1" t="s">
        <v>4</v>
      </c>
      <c r="C155" s="1">
        <v>1884</v>
      </c>
      <c r="D155" s="1">
        <v>177</v>
      </c>
      <c r="E155" s="1">
        <v>230448</v>
      </c>
      <c r="F155" s="5">
        <f t="shared" si="2"/>
        <v>7.4073109768798169E-3</v>
      </c>
      <c r="G155" s="1">
        <v>7.8</v>
      </c>
      <c r="H155" s="1">
        <v>22713</v>
      </c>
    </row>
    <row r="156" spans="1:8" ht="14.25" customHeight="1" x14ac:dyDescent="0.25">
      <c r="A156" s="2">
        <v>45712</v>
      </c>
      <c r="B156" s="1" t="s">
        <v>1</v>
      </c>
      <c r="C156" s="1">
        <v>861</v>
      </c>
      <c r="D156" s="1">
        <v>153</v>
      </c>
      <c r="E156" s="1">
        <v>317007</v>
      </c>
      <c r="F156" s="5">
        <f t="shared" si="2"/>
        <v>2.2333891680625349E-3</v>
      </c>
      <c r="G156" s="1">
        <v>3.85</v>
      </c>
      <c r="H156" s="1">
        <v>8718</v>
      </c>
    </row>
    <row r="157" spans="1:8" ht="14.25" customHeight="1" x14ac:dyDescent="0.25">
      <c r="A157" s="2">
        <v>45712</v>
      </c>
      <c r="B157" s="1" t="s">
        <v>2</v>
      </c>
      <c r="C157" s="1">
        <v>1063</v>
      </c>
      <c r="D157" s="1">
        <v>47</v>
      </c>
      <c r="E157" s="1">
        <v>464239</v>
      </c>
      <c r="F157" s="5">
        <f t="shared" si="2"/>
        <v>2.1885278918832756E-3</v>
      </c>
      <c r="G157" s="1">
        <v>6.58</v>
      </c>
      <c r="H157" s="1">
        <v>39031</v>
      </c>
    </row>
    <row r="158" spans="1:8" ht="14.25" customHeight="1" x14ac:dyDescent="0.25">
      <c r="A158" s="2">
        <v>45719</v>
      </c>
      <c r="B158" s="1" t="s">
        <v>3</v>
      </c>
      <c r="C158" s="1">
        <v>1371</v>
      </c>
      <c r="D158" s="1">
        <v>56</v>
      </c>
      <c r="E158" s="1">
        <v>257579</v>
      </c>
      <c r="F158" s="5">
        <f t="shared" si="2"/>
        <v>5.1052298518124532E-3</v>
      </c>
      <c r="G158" s="1">
        <v>8.6199999999999992</v>
      </c>
      <c r="H158" s="1">
        <v>33799</v>
      </c>
    </row>
    <row r="159" spans="1:8" ht="14.25" customHeight="1" x14ac:dyDescent="0.25">
      <c r="A159" s="2">
        <v>45719</v>
      </c>
      <c r="B159" s="1" t="s">
        <v>4</v>
      </c>
      <c r="C159" s="1">
        <v>345</v>
      </c>
      <c r="D159" s="1">
        <v>464</v>
      </c>
      <c r="E159" s="1">
        <v>366881</v>
      </c>
      <c r="F159" s="5">
        <f t="shared" si="2"/>
        <v>-3.2435585380545735E-4</v>
      </c>
      <c r="G159" s="1">
        <v>4.55</v>
      </c>
      <c r="H159" s="1">
        <v>20553</v>
      </c>
    </row>
    <row r="160" spans="1:8" ht="14.25" customHeight="1" x14ac:dyDescent="0.25">
      <c r="A160" s="2">
        <v>45719</v>
      </c>
      <c r="B160" s="1" t="s">
        <v>1</v>
      </c>
      <c r="C160" s="1">
        <v>946</v>
      </c>
      <c r="D160" s="1">
        <v>47</v>
      </c>
      <c r="E160" s="1">
        <v>466575</v>
      </c>
      <c r="F160" s="5">
        <f t="shared" si="2"/>
        <v>1.9268070513850934E-3</v>
      </c>
      <c r="G160" s="1">
        <v>8.33</v>
      </c>
      <c r="H160" s="1">
        <v>10002</v>
      </c>
    </row>
    <row r="161" spans="1:8" ht="14.25" customHeight="1" x14ac:dyDescent="0.25">
      <c r="A161" s="2">
        <v>45719</v>
      </c>
      <c r="B161" s="1" t="s">
        <v>2</v>
      </c>
      <c r="C161" s="1">
        <v>510</v>
      </c>
      <c r="D161" s="1">
        <v>195</v>
      </c>
      <c r="E161" s="1">
        <v>224534</v>
      </c>
      <c r="F161" s="5">
        <f t="shared" si="2"/>
        <v>1.4029055733207443E-3</v>
      </c>
      <c r="G161" s="1">
        <v>9.4</v>
      </c>
      <c r="H161" s="1">
        <v>30987</v>
      </c>
    </row>
    <row r="162" spans="1:8" ht="14.25" customHeight="1" x14ac:dyDescent="0.25">
      <c r="A162" s="2">
        <v>45726</v>
      </c>
      <c r="B162" s="1" t="s">
        <v>3</v>
      </c>
      <c r="C162" s="1">
        <v>393</v>
      </c>
      <c r="D162" s="1">
        <v>181</v>
      </c>
      <c r="E162" s="1">
        <v>462142</v>
      </c>
      <c r="F162" s="5">
        <f t="shared" si="2"/>
        <v>4.5873346287504706E-4</v>
      </c>
      <c r="G162" s="1">
        <v>7.23</v>
      </c>
      <c r="H162" s="1">
        <v>6296</v>
      </c>
    </row>
    <row r="163" spans="1:8" ht="14.25" customHeight="1" x14ac:dyDescent="0.25">
      <c r="A163" s="2">
        <v>45726</v>
      </c>
      <c r="B163" s="1" t="s">
        <v>4</v>
      </c>
      <c r="C163" s="1">
        <v>1098</v>
      </c>
      <c r="D163" s="1">
        <v>190</v>
      </c>
      <c r="E163" s="1">
        <v>340842</v>
      </c>
      <c r="F163" s="5">
        <f t="shared" si="2"/>
        <v>2.6639909400836752E-3</v>
      </c>
      <c r="G163" s="1">
        <v>9.39</v>
      </c>
      <c r="H163" s="1">
        <v>21539</v>
      </c>
    </row>
    <row r="164" spans="1:8" ht="14.25" customHeight="1" x14ac:dyDescent="0.25">
      <c r="A164" s="2">
        <v>45726</v>
      </c>
      <c r="B164" s="1" t="s">
        <v>1</v>
      </c>
      <c r="C164" s="1">
        <v>1399</v>
      </c>
      <c r="D164" s="1">
        <v>49</v>
      </c>
      <c r="E164" s="1">
        <v>12471</v>
      </c>
      <c r="F164" s="5">
        <f t="shared" si="2"/>
        <v>0.10825114265095021</v>
      </c>
      <c r="G164" s="1">
        <v>5.12</v>
      </c>
      <c r="H164" s="1">
        <v>14722</v>
      </c>
    </row>
    <row r="165" spans="1:8" ht="14.25" customHeight="1" x14ac:dyDescent="0.25">
      <c r="A165" s="2">
        <v>45726</v>
      </c>
      <c r="B165" s="1" t="s">
        <v>2</v>
      </c>
      <c r="C165" s="1">
        <v>1658</v>
      </c>
      <c r="D165" s="1">
        <v>416</v>
      </c>
      <c r="E165" s="1">
        <v>98397</v>
      </c>
      <c r="F165" s="5">
        <f t="shared" si="2"/>
        <v>1.2622336046830695E-2</v>
      </c>
      <c r="G165" s="1">
        <v>6.11</v>
      </c>
      <c r="H165" s="1">
        <v>11383</v>
      </c>
    </row>
    <row r="166" spans="1:8" ht="14.25" customHeight="1" x14ac:dyDescent="0.25">
      <c r="A166" s="2">
        <v>45733</v>
      </c>
      <c r="B166" s="1" t="s">
        <v>3</v>
      </c>
      <c r="C166" s="1">
        <v>1102</v>
      </c>
      <c r="D166" s="1">
        <v>422</v>
      </c>
      <c r="E166" s="1">
        <v>410330</v>
      </c>
      <c r="F166" s="5">
        <f t="shared" si="2"/>
        <v>1.6572027392586454E-3</v>
      </c>
      <c r="G166" s="1">
        <v>7.74</v>
      </c>
      <c r="H166" s="1">
        <v>9480</v>
      </c>
    </row>
    <row r="167" spans="1:8" ht="14.25" customHeight="1" x14ac:dyDescent="0.25">
      <c r="A167" s="2">
        <v>45733</v>
      </c>
      <c r="B167" s="1" t="s">
        <v>4</v>
      </c>
      <c r="C167" s="1">
        <v>1358</v>
      </c>
      <c r="D167" s="1">
        <v>242</v>
      </c>
      <c r="E167" s="1">
        <v>342129</v>
      </c>
      <c r="F167" s="5">
        <f t="shared" si="2"/>
        <v>3.2619275185675578E-3</v>
      </c>
      <c r="G167" s="1">
        <v>4.9400000000000004</v>
      </c>
      <c r="H167" s="1">
        <v>29116</v>
      </c>
    </row>
    <row r="168" spans="1:8" ht="14.25" customHeight="1" x14ac:dyDescent="0.25">
      <c r="A168" s="2">
        <v>45733</v>
      </c>
      <c r="B168" s="1" t="s">
        <v>1</v>
      </c>
      <c r="C168" s="1">
        <v>1077</v>
      </c>
      <c r="D168" s="1">
        <v>216</v>
      </c>
      <c r="E168" s="1">
        <v>12447</v>
      </c>
      <c r="F168" s="5">
        <f t="shared" si="2"/>
        <v>6.9173294769824048E-2</v>
      </c>
      <c r="G168" s="1">
        <v>1.8</v>
      </c>
      <c r="H168" s="1">
        <v>14068</v>
      </c>
    </row>
    <row r="169" spans="1:8" ht="14.25" customHeight="1" x14ac:dyDescent="0.25">
      <c r="A169" s="2">
        <v>45733</v>
      </c>
      <c r="B169" s="1" t="s">
        <v>2</v>
      </c>
      <c r="C169" s="1">
        <v>1596</v>
      </c>
      <c r="D169" s="1">
        <v>211</v>
      </c>
      <c r="E169" s="1">
        <v>17380</v>
      </c>
      <c r="F169" s="5">
        <f t="shared" si="2"/>
        <v>7.9689298043728429E-2</v>
      </c>
      <c r="G169" s="1">
        <v>8.64</v>
      </c>
      <c r="H169" s="1">
        <v>35801</v>
      </c>
    </row>
    <row r="170" spans="1:8" ht="14.25" customHeight="1" x14ac:dyDescent="0.25">
      <c r="A170" s="2">
        <v>45740</v>
      </c>
      <c r="B170" s="1" t="s">
        <v>3</v>
      </c>
      <c r="C170" s="1">
        <v>490</v>
      </c>
      <c r="D170" s="1">
        <v>29</v>
      </c>
      <c r="E170" s="1">
        <v>364810</v>
      </c>
      <c r="F170" s="5">
        <f t="shared" si="2"/>
        <v>1.2636715002329981E-3</v>
      </c>
      <c r="G170" s="1">
        <v>1.53</v>
      </c>
      <c r="H170" s="1">
        <v>49077</v>
      </c>
    </row>
    <row r="171" spans="1:8" ht="14.25" customHeight="1" x14ac:dyDescent="0.25">
      <c r="A171" s="2">
        <v>45740</v>
      </c>
      <c r="B171" s="1" t="s">
        <v>4</v>
      </c>
      <c r="C171" s="1">
        <v>609</v>
      </c>
      <c r="D171" s="1">
        <v>135</v>
      </c>
      <c r="E171" s="1">
        <v>373606</v>
      </c>
      <c r="F171" s="5">
        <f t="shared" si="2"/>
        <v>1.268716241173857E-3</v>
      </c>
      <c r="G171" s="1">
        <v>8.52</v>
      </c>
      <c r="H171" s="1">
        <v>21453</v>
      </c>
    </row>
    <row r="172" spans="1:8" ht="14.25" customHeight="1" x14ac:dyDescent="0.25">
      <c r="A172" s="2">
        <v>45740</v>
      </c>
      <c r="B172" s="1" t="s">
        <v>1</v>
      </c>
      <c r="C172" s="1">
        <v>364</v>
      </c>
      <c r="D172" s="1">
        <v>72</v>
      </c>
      <c r="E172" s="1">
        <v>211090</v>
      </c>
      <c r="F172" s="5">
        <f t="shared" si="2"/>
        <v>1.3832962243592781E-3</v>
      </c>
      <c r="G172" s="1">
        <v>5.53</v>
      </c>
      <c r="H172" s="1">
        <v>21061</v>
      </c>
    </row>
    <row r="173" spans="1:8" ht="14.25" customHeight="1" x14ac:dyDescent="0.25">
      <c r="A173" s="2">
        <v>45740</v>
      </c>
      <c r="B173" s="1" t="s">
        <v>2</v>
      </c>
      <c r="C173" s="1">
        <v>442</v>
      </c>
      <c r="D173" s="1">
        <v>53</v>
      </c>
      <c r="E173" s="1">
        <v>441931</v>
      </c>
      <c r="F173" s="5">
        <f t="shared" si="2"/>
        <v>8.8022790888170322E-4</v>
      </c>
      <c r="G173" s="1">
        <v>1.87</v>
      </c>
      <c r="H173" s="1">
        <v>20059</v>
      </c>
    </row>
    <row r="174" spans="1:8" ht="14.25" customHeight="1" x14ac:dyDescent="0.25">
      <c r="A174" s="2">
        <v>45747</v>
      </c>
      <c r="B174" s="1" t="s">
        <v>3</v>
      </c>
      <c r="C174" s="1">
        <v>1033</v>
      </c>
      <c r="D174" s="1">
        <v>392</v>
      </c>
      <c r="E174" s="1">
        <v>282780</v>
      </c>
      <c r="F174" s="5">
        <f t="shared" si="2"/>
        <v>2.2667798288422093E-3</v>
      </c>
      <c r="G174" s="1">
        <v>6.27</v>
      </c>
      <c r="H174" s="1">
        <v>23140</v>
      </c>
    </row>
    <row r="175" spans="1:8" ht="14.25" customHeight="1" x14ac:dyDescent="0.25">
      <c r="A175" s="2">
        <v>45747</v>
      </c>
      <c r="B175" s="1" t="s">
        <v>4</v>
      </c>
      <c r="C175" s="1">
        <v>988</v>
      </c>
      <c r="D175" s="1">
        <v>474</v>
      </c>
      <c r="E175" s="1">
        <v>370070</v>
      </c>
      <c r="F175" s="5">
        <f t="shared" si="2"/>
        <v>1.3889264193260734E-3</v>
      </c>
      <c r="G175" s="1">
        <v>9.4600000000000009</v>
      </c>
      <c r="H175" s="1">
        <v>23461</v>
      </c>
    </row>
    <row r="176" spans="1:8" ht="14.25" customHeight="1" x14ac:dyDescent="0.25">
      <c r="A176" s="2">
        <v>45747</v>
      </c>
      <c r="B176" s="1" t="s">
        <v>1</v>
      </c>
      <c r="C176" s="1">
        <v>1946</v>
      </c>
      <c r="D176" s="1">
        <v>270</v>
      </c>
      <c r="E176" s="1">
        <v>198350</v>
      </c>
      <c r="F176" s="5">
        <f t="shared" si="2"/>
        <v>8.4497101083942528E-3</v>
      </c>
      <c r="G176" s="1">
        <v>7.5</v>
      </c>
      <c r="H176" s="1">
        <v>11805</v>
      </c>
    </row>
    <row r="177" spans="1:8" ht="14.25" customHeight="1" x14ac:dyDescent="0.25">
      <c r="A177" s="2">
        <v>45747</v>
      </c>
      <c r="B177" s="1" t="s">
        <v>2</v>
      </c>
      <c r="C177" s="1">
        <v>1957</v>
      </c>
      <c r="D177" s="1">
        <v>490</v>
      </c>
      <c r="E177" s="1">
        <v>435726</v>
      </c>
      <c r="F177" s="5">
        <f t="shared" si="2"/>
        <v>3.3667947287974553E-3</v>
      </c>
      <c r="G177" s="1">
        <v>4.7300000000000004</v>
      </c>
      <c r="H177" s="1">
        <v>15969</v>
      </c>
    </row>
    <row r="178" spans="1:8" ht="14.25" customHeight="1" x14ac:dyDescent="0.25">
      <c r="A178" s="2">
        <v>45754</v>
      </c>
      <c r="B178" s="1" t="s">
        <v>3</v>
      </c>
      <c r="C178" s="1">
        <v>559</v>
      </c>
      <c r="D178" s="1">
        <v>392</v>
      </c>
      <c r="E178" s="1">
        <v>78789</v>
      </c>
      <c r="F178" s="5">
        <f t="shared" si="2"/>
        <v>2.1195852212872357E-3</v>
      </c>
      <c r="G178" s="1">
        <v>3.19</v>
      </c>
      <c r="H178" s="1">
        <v>2436</v>
      </c>
    </row>
    <row r="179" spans="1:8" ht="14.25" customHeight="1" x14ac:dyDescent="0.25">
      <c r="A179" s="2">
        <v>45754</v>
      </c>
      <c r="B179" s="1" t="s">
        <v>4</v>
      </c>
      <c r="C179" s="1">
        <v>1307</v>
      </c>
      <c r="D179" s="1">
        <v>278</v>
      </c>
      <c r="E179" s="1">
        <v>98596</v>
      </c>
      <c r="F179" s="5">
        <f t="shared" si="2"/>
        <v>1.0436528865268368E-2</v>
      </c>
      <c r="G179" s="1">
        <v>2.4900000000000002</v>
      </c>
      <c r="H179" s="1">
        <v>47603</v>
      </c>
    </row>
    <row r="180" spans="1:8" ht="14.25" customHeight="1" x14ac:dyDescent="0.25">
      <c r="A180" s="2">
        <v>45754</v>
      </c>
      <c r="B180" s="1" t="s">
        <v>1</v>
      </c>
      <c r="C180" s="1">
        <v>1432</v>
      </c>
      <c r="D180" s="1">
        <v>425</v>
      </c>
      <c r="E180" s="1">
        <v>29589</v>
      </c>
      <c r="F180" s="5">
        <f t="shared" si="2"/>
        <v>3.4032917638311531E-2</v>
      </c>
      <c r="G180" s="1">
        <v>4.5</v>
      </c>
      <c r="H180" s="1">
        <v>42964</v>
      </c>
    </row>
    <row r="181" spans="1:8" ht="14.25" customHeight="1" x14ac:dyDescent="0.25">
      <c r="A181" s="2">
        <v>45754</v>
      </c>
      <c r="B181" s="1" t="s">
        <v>2</v>
      </c>
      <c r="C181" s="1">
        <v>623</v>
      </c>
      <c r="D181" s="1">
        <v>414</v>
      </c>
      <c r="E181" s="1">
        <v>290354</v>
      </c>
      <c r="F181" s="5">
        <f t="shared" si="2"/>
        <v>7.1981098934404211E-4</v>
      </c>
      <c r="G181" s="1">
        <v>6.49</v>
      </c>
      <c r="H181" s="1">
        <v>39923</v>
      </c>
    </row>
    <row r="182" spans="1:8" ht="14.25" customHeight="1" x14ac:dyDescent="0.25">
      <c r="A182" s="2">
        <v>45761</v>
      </c>
      <c r="B182" s="1" t="s">
        <v>3</v>
      </c>
      <c r="C182" s="1">
        <v>198</v>
      </c>
      <c r="D182" s="1">
        <v>358</v>
      </c>
      <c r="E182" s="1">
        <v>66682</v>
      </c>
      <c r="F182" s="5">
        <f t="shared" si="2"/>
        <v>-2.3994481269308059E-3</v>
      </c>
      <c r="G182" s="1">
        <v>6.73</v>
      </c>
      <c r="H182" s="1">
        <v>2293</v>
      </c>
    </row>
    <row r="183" spans="1:8" ht="14.25" customHeight="1" x14ac:dyDescent="0.25">
      <c r="A183" s="2">
        <v>45761</v>
      </c>
      <c r="B183" s="1" t="s">
        <v>4</v>
      </c>
      <c r="C183" s="1">
        <v>198</v>
      </c>
      <c r="D183" s="1">
        <v>373</v>
      </c>
      <c r="E183" s="1">
        <v>70707</v>
      </c>
      <c r="F183" s="5">
        <f t="shared" si="2"/>
        <v>-2.4750024750024749E-3</v>
      </c>
      <c r="G183" s="1">
        <v>4.83</v>
      </c>
      <c r="H183" s="1">
        <v>25920</v>
      </c>
    </row>
    <row r="184" spans="1:8" ht="14.25" customHeight="1" x14ac:dyDescent="0.25">
      <c r="A184" s="2">
        <v>45761</v>
      </c>
      <c r="B184" s="1" t="s">
        <v>1</v>
      </c>
      <c r="C184" s="1">
        <v>353</v>
      </c>
      <c r="D184" s="1">
        <v>300</v>
      </c>
      <c r="E184" s="1">
        <v>142507</v>
      </c>
      <c r="F184" s="5">
        <f t="shared" si="2"/>
        <v>3.7191155522184875E-4</v>
      </c>
      <c r="G184" s="1">
        <v>5.3</v>
      </c>
      <c r="H184" s="1">
        <v>11035</v>
      </c>
    </row>
    <row r="185" spans="1:8" ht="14.25" customHeight="1" x14ac:dyDescent="0.25">
      <c r="A185" s="2">
        <v>45761</v>
      </c>
      <c r="B185" s="1" t="s">
        <v>2</v>
      </c>
      <c r="C185" s="1">
        <v>520</v>
      </c>
      <c r="D185" s="1">
        <v>375</v>
      </c>
      <c r="E185" s="1">
        <v>369525</v>
      </c>
      <c r="F185" s="5">
        <f t="shared" si="2"/>
        <v>3.9239564305527366E-4</v>
      </c>
      <c r="G185" s="1">
        <v>6.54</v>
      </c>
      <c r="H185" s="1">
        <v>20733</v>
      </c>
    </row>
    <row r="186" spans="1:8" ht="14.25" customHeight="1" x14ac:dyDescent="0.25">
      <c r="A186" s="2">
        <v>45768</v>
      </c>
      <c r="B186" s="1" t="s">
        <v>3</v>
      </c>
      <c r="C186" s="1">
        <v>961</v>
      </c>
      <c r="D186" s="1">
        <v>358</v>
      </c>
      <c r="E186" s="1">
        <v>62942</v>
      </c>
      <c r="F186" s="5">
        <f t="shared" si="2"/>
        <v>9.5802484827301332E-3</v>
      </c>
      <c r="G186" s="1">
        <v>6.8</v>
      </c>
      <c r="H186" s="1">
        <v>18693</v>
      </c>
    </row>
    <row r="187" spans="1:8" ht="14.25" customHeight="1" x14ac:dyDescent="0.25">
      <c r="A187" s="2">
        <v>45768</v>
      </c>
      <c r="B187" s="1" t="s">
        <v>4</v>
      </c>
      <c r="C187" s="1">
        <v>1375</v>
      </c>
      <c r="D187" s="1">
        <v>330</v>
      </c>
      <c r="E187" s="1">
        <v>377382</v>
      </c>
      <c r="F187" s="5">
        <f t="shared" si="2"/>
        <v>2.7690774864725927E-3</v>
      </c>
      <c r="G187" s="1">
        <v>2.6</v>
      </c>
      <c r="H187" s="1">
        <v>7875</v>
      </c>
    </row>
    <row r="188" spans="1:8" ht="14.25" customHeight="1" x14ac:dyDescent="0.25">
      <c r="A188" s="2">
        <v>45768</v>
      </c>
      <c r="B188" s="1" t="s">
        <v>1</v>
      </c>
      <c r="C188" s="1">
        <v>1147</v>
      </c>
      <c r="D188" s="1">
        <v>388</v>
      </c>
      <c r="E188" s="1">
        <v>333851</v>
      </c>
      <c r="F188" s="5">
        <f t="shared" si="2"/>
        <v>2.2734693021737242E-3</v>
      </c>
      <c r="G188" s="1">
        <v>2.44</v>
      </c>
      <c r="H188" s="1">
        <v>8471</v>
      </c>
    </row>
    <row r="189" spans="1:8" ht="14.25" customHeight="1" x14ac:dyDescent="0.25">
      <c r="A189" s="2">
        <v>45768</v>
      </c>
      <c r="B189" s="1" t="s">
        <v>2</v>
      </c>
      <c r="C189" s="1">
        <v>1707</v>
      </c>
      <c r="D189" s="1">
        <v>74</v>
      </c>
      <c r="E189" s="1">
        <v>270958</v>
      </c>
      <c r="F189" s="5">
        <f t="shared" si="2"/>
        <v>6.0267642955734836E-3</v>
      </c>
      <c r="G189" s="1">
        <v>3.09</v>
      </c>
      <c r="H189" s="1">
        <v>14090</v>
      </c>
    </row>
    <row r="190" spans="1:8" ht="14.25" customHeight="1" x14ac:dyDescent="0.25">
      <c r="A190" s="2">
        <v>45775</v>
      </c>
      <c r="B190" s="1" t="s">
        <v>3</v>
      </c>
      <c r="C190" s="1">
        <v>1693</v>
      </c>
      <c r="D190" s="1">
        <v>154</v>
      </c>
      <c r="E190" s="1">
        <v>445944</v>
      </c>
      <c r="F190" s="5">
        <f t="shared" si="2"/>
        <v>3.4511059684624078E-3</v>
      </c>
      <c r="G190" s="1">
        <v>5.69</v>
      </c>
      <c r="H190" s="1">
        <v>14216</v>
      </c>
    </row>
    <row r="191" spans="1:8" ht="14.25" customHeight="1" x14ac:dyDescent="0.25">
      <c r="A191" s="2">
        <v>45775</v>
      </c>
      <c r="B191" s="1" t="s">
        <v>4</v>
      </c>
      <c r="C191" s="1">
        <v>833</v>
      </c>
      <c r="D191" s="1">
        <v>380</v>
      </c>
      <c r="E191" s="1">
        <v>224830</v>
      </c>
      <c r="F191" s="5">
        <f t="shared" si="2"/>
        <v>2.014855668727483E-3</v>
      </c>
      <c r="G191" s="1">
        <v>3.86</v>
      </c>
      <c r="H191" s="1">
        <v>3582</v>
      </c>
    </row>
    <row r="192" spans="1:8" ht="14.25" customHeight="1" x14ac:dyDescent="0.25">
      <c r="A192" s="2">
        <v>45775</v>
      </c>
      <c r="B192" s="1" t="s">
        <v>1</v>
      </c>
      <c r="C192" s="1">
        <v>1222</v>
      </c>
      <c r="D192" s="1">
        <v>274</v>
      </c>
      <c r="E192" s="1">
        <v>487289</v>
      </c>
      <c r="F192" s="5">
        <f t="shared" si="2"/>
        <v>1.9454574184929272E-3</v>
      </c>
      <c r="G192" s="1">
        <v>3.16</v>
      </c>
      <c r="H192" s="1">
        <v>32500</v>
      </c>
    </row>
    <row r="193" spans="1:8" ht="14.25" customHeight="1" x14ac:dyDescent="0.25">
      <c r="A193" s="2">
        <v>45775</v>
      </c>
      <c r="B193" s="1" t="s">
        <v>2</v>
      </c>
      <c r="C193" s="1">
        <v>777</v>
      </c>
      <c r="D193" s="1">
        <v>140</v>
      </c>
      <c r="E193" s="1">
        <v>11435</v>
      </c>
      <c r="F193" s="5">
        <f t="shared" si="2"/>
        <v>5.5706165282028861E-2</v>
      </c>
      <c r="G193" s="1">
        <v>1.6</v>
      </c>
      <c r="H193" s="1">
        <v>6832</v>
      </c>
    </row>
    <row r="194" spans="1:8" ht="14.25" customHeight="1" x14ac:dyDescent="0.25">
      <c r="A194" s="2">
        <v>45782</v>
      </c>
      <c r="B194" s="1" t="s">
        <v>3</v>
      </c>
      <c r="C194" s="1">
        <v>1957</v>
      </c>
      <c r="D194" s="1">
        <v>76</v>
      </c>
      <c r="E194" s="1">
        <v>447902</v>
      </c>
      <c r="F194" s="5">
        <f t="shared" si="2"/>
        <v>4.1995793722733989E-3</v>
      </c>
      <c r="G194" s="1">
        <v>6.09</v>
      </c>
      <c r="H194" s="1">
        <v>33381</v>
      </c>
    </row>
    <row r="195" spans="1:8" ht="14.25" customHeight="1" x14ac:dyDescent="0.25">
      <c r="A195" s="2">
        <v>45782</v>
      </c>
      <c r="B195" s="1" t="s">
        <v>4</v>
      </c>
      <c r="C195" s="1">
        <v>405</v>
      </c>
      <c r="D195" s="1">
        <v>66</v>
      </c>
      <c r="E195" s="1">
        <v>418696</v>
      </c>
      <c r="F195" s="5">
        <f t="shared" ref="F195:F201" si="3">(C195-D195)/E195</f>
        <v>8.0965664826031301E-4</v>
      </c>
      <c r="G195" s="1">
        <v>5.59</v>
      </c>
      <c r="H195" s="1">
        <v>48419</v>
      </c>
    </row>
    <row r="196" spans="1:8" ht="14.25" customHeight="1" x14ac:dyDescent="0.25">
      <c r="A196" s="2">
        <v>45782</v>
      </c>
      <c r="B196" s="1" t="s">
        <v>1</v>
      </c>
      <c r="C196" s="1">
        <v>1581</v>
      </c>
      <c r="D196" s="1">
        <v>71</v>
      </c>
      <c r="E196" s="1">
        <v>484364</v>
      </c>
      <c r="F196" s="5">
        <f t="shared" si="3"/>
        <v>3.1174901520344203E-3</v>
      </c>
      <c r="G196" s="1">
        <v>3.55</v>
      </c>
      <c r="H196" s="1">
        <v>16149</v>
      </c>
    </row>
    <row r="197" spans="1:8" ht="14.25" customHeight="1" x14ac:dyDescent="0.25">
      <c r="A197" s="2">
        <v>45782</v>
      </c>
      <c r="B197" s="1" t="s">
        <v>2</v>
      </c>
      <c r="C197" s="1">
        <v>1035</v>
      </c>
      <c r="D197" s="1">
        <v>171</v>
      </c>
      <c r="E197" s="1">
        <v>148477</v>
      </c>
      <c r="F197" s="5">
        <f t="shared" si="3"/>
        <v>5.8190830903102836E-3</v>
      </c>
      <c r="G197" s="1">
        <v>5.21</v>
      </c>
      <c r="H197" s="1">
        <v>7541</v>
      </c>
    </row>
    <row r="198" spans="1:8" ht="14.25" customHeight="1" x14ac:dyDescent="0.25">
      <c r="A198" s="2">
        <v>45789</v>
      </c>
      <c r="B198" s="1" t="s">
        <v>3</v>
      </c>
      <c r="C198" s="1">
        <v>1765</v>
      </c>
      <c r="D198" s="1">
        <v>109</v>
      </c>
      <c r="E198" s="1">
        <v>468301</v>
      </c>
      <c r="F198" s="5">
        <f t="shared" si="3"/>
        <v>3.5361871958419907E-3</v>
      </c>
      <c r="G198" s="1">
        <v>1.82</v>
      </c>
      <c r="H198" s="1">
        <v>20042</v>
      </c>
    </row>
    <row r="199" spans="1:8" ht="14.25" customHeight="1" x14ac:dyDescent="0.25">
      <c r="A199" s="2">
        <v>45789</v>
      </c>
      <c r="B199" s="1" t="s">
        <v>4</v>
      </c>
      <c r="C199" s="1">
        <v>837</v>
      </c>
      <c r="D199" s="1">
        <v>430</v>
      </c>
      <c r="E199" s="1">
        <v>364820</v>
      </c>
      <c r="F199" s="5">
        <f t="shared" si="3"/>
        <v>1.1156186612576065E-3</v>
      </c>
      <c r="G199" s="1">
        <v>4</v>
      </c>
      <c r="H199" s="1">
        <v>49400</v>
      </c>
    </row>
    <row r="200" spans="1:8" ht="14.25" customHeight="1" x14ac:dyDescent="0.25">
      <c r="A200" s="2">
        <v>45789</v>
      </c>
      <c r="B200" s="1" t="s">
        <v>1</v>
      </c>
      <c r="C200" s="1">
        <v>337</v>
      </c>
      <c r="D200" s="1">
        <v>68</v>
      </c>
      <c r="E200" s="1">
        <v>456298</v>
      </c>
      <c r="F200" s="5">
        <f t="shared" si="3"/>
        <v>5.8952701962314107E-4</v>
      </c>
      <c r="G200" s="1">
        <v>7.57</v>
      </c>
      <c r="H200" s="1">
        <v>4007</v>
      </c>
    </row>
    <row r="201" spans="1:8" ht="14.25" customHeight="1" x14ac:dyDescent="0.25">
      <c r="A201" s="2">
        <v>45789</v>
      </c>
      <c r="B201" s="1" t="s">
        <v>2</v>
      </c>
      <c r="C201" s="1">
        <v>119</v>
      </c>
      <c r="D201" s="1">
        <v>456</v>
      </c>
      <c r="E201" s="1">
        <v>82558</v>
      </c>
      <c r="F201" s="5">
        <f t="shared" si="3"/>
        <v>-4.0819787301048958E-3</v>
      </c>
      <c r="G201" s="1">
        <v>6.81</v>
      </c>
      <c r="H201" s="1">
        <v>12174</v>
      </c>
    </row>
    <row r="202" spans="1:8" ht="14.25" customHeight="1" x14ac:dyDescent="0.25"/>
    <row r="203" spans="1:8" ht="14.25" customHeight="1" x14ac:dyDescent="0.25"/>
    <row r="204" spans="1:8" ht="14.25" customHeight="1" x14ac:dyDescent="0.25"/>
    <row r="205" spans="1:8" ht="14.25" customHeight="1" x14ac:dyDescent="0.25"/>
    <row r="206" spans="1:8" ht="14.25" customHeight="1" x14ac:dyDescent="0.25"/>
    <row r="207" spans="1:8" ht="14.25" customHeight="1" x14ac:dyDescent="0.25"/>
    <row r="208" spans="1: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F42A4A-A202-40FF-998A-5BCECEE2B4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Platform_HE</vt:lpstr>
      <vt:lpstr>Avg_growth_rate</vt:lpstr>
      <vt:lpstr>Engage_vs_AdSpent</vt:lpstr>
      <vt:lpstr>Engagment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Kapil Khatana</cp:lastModifiedBy>
  <dcterms:created xsi:type="dcterms:W3CDTF">2025-11-20T05:25:56Z</dcterms:created>
  <dcterms:modified xsi:type="dcterms:W3CDTF">2025-12-26T02:27:34Z</dcterms:modified>
</cp:coreProperties>
</file>