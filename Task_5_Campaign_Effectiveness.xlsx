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71dda8e7f5ffef/Desktop/Project_1/"/>
    </mc:Choice>
  </mc:AlternateContent>
  <xr:revisionPtr revIDLastSave="6" documentId="8_{D8BDB281-5F27-4C7F-A0B3-092F340D59E0}" xr6:coauthVersionLast="47" xr6:coauthVersionMax="47" xr10:uidLastSave="{B0ADF137-FED2-4638-ACA7-3A0F16FBD65F}"/>
  <bookViews>
    <workbookView xWindow="-120" yWindow="-120" windowWidth="20730" windowHeight="11040" xr2:uid="{00000000-000D-0000-FFFF-FFFF00000000}"/>
  </bookViews>
  <sheets>
    <sheet name="Average_And_Total" sheetId="29" r:id="rId1"/>
    <sheet name="ROI" sheetId="35" r:id="rId2"/>
    <sheet name="Engagement_Uplift" sheetId="34" r:id="rId3"/>
    <sheet name="Strongest_Follower_Growth" sheetId="38" r:id="rId4"/>
  </sheets>
  <definedNames>
    <definedName name="ExternalData_1" localSheetId="1" hidden="1">ROI!$A$1:$C$5</definedName>
    <definedName name="ExternalData_2" localSheetId="2" hidden="1">Engagement_Uplift!$A$1:$G$5</definedName>
    <definedName name="ExternalData_2" localSheetId="3" hidden="1">Strongest_Follower_Growth!$A$1:$B$5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sBh9W7a48zZe43sKmwdG/98/HB9TUkO8zrb1W442d8="/>
    </ext>
  </extLst>
</workbook>
</file>

<file path=xl/calcChain.xml><?xml version="1.0" encoding="utf-8"?>
<calcChain xmlns="http://schemas.openxmlformats.org/spreadsheetml/2006/main">
  <c r="D2" i="35" l="1"/>
  <c r="D3" i="35"/>
  <c r="D4" i="35"/>
  <c r="D5" i="35"/>
  <c r="I2" i="34"/>
  <c r="J2" i="34" s="1"/>
  <c r="I3" i="34"/>
  <c r="J3" i="34" s="1"/>
  <c r="I4" i="34"/>
  <c r="J4" i="34" s="1"/>
  <c r="I5" i="34"/>
  <c r="J5" i="34" s="1"/>
  <c r="H2" i="34"/>
  <c r="H3" i="34"/>
  <c r="H4" i="34"/>
  <c r="H5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DE8AF-DD71-4BDA-BF6A-338E81B8BCD1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96094AE7-A4C0-43C4-9E82-7470892A8F1F}" keepAlive="1" name="Query - Campaign Data (2)" description="Connection to the 'Campaign Data (2)' query in the workbook." type="5" refreshedVersion="8" background="1" saveData="1">
    <dbPr connection="Provider=Microsoft.Mashup.OleDb.1;Data Source=$Workbook$;Location=&quot;Campaign Data (2)&quot;;Extended Properties=&quot;&quot;" command="SELECT * FROM [Campaign Data (2)]"/>
  </connection>
  <connection id="3" xr16:uid="{1B96E0CC-E406-438E-8F95-5F2FCEBAE243}" keepAlive="1" name="Query - Campaign Data (3)" description="Connection to the 'Campaign Data (3)' query in the workbook." type="5" refreshedVersion="8" background="1" saveData="1">
    <dbPr connection="Provider=Microsoft.Mashup.OleDb.1;Data Source=$Workbook$;Location=&quot;Campaign Data (3)&quot;;Extended Properties=&quot;&quot;" command="SELECT * FROM [Campaign Data (3)]"/>
  </connection>
  <connection id="4" xr16:uid="{BFB757D4-CB58-49B2-A85B-97B7C6AE8D4D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5" xr16:uid="{9E64CA13-299F-4683-B180-03609B86C1D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6" xr16:uid="{7F9728F1-0542-4ED9-91E3-D8BA64ED7A9F}" keepAlive="1" name="Query - Post (2)" description="Connection to the 'Post (2)' query in the workbook." type="5" refreshedVersion="8" background="1" saveData="1">
    <dbPr connection="Provider=Microsoft.Mashup.OleDb.1;Data Source=$Workbook$;Location=&quot;Post (2)&quot;;Extended Properties=&quot;&quot;" command="SELECT * FROM [Post (2)]"/>
  </connection>
  <connection id="7" xr16:uid="{7A6C945C-74D8-49A4-A423-1B003F1DE632}" keepAlive="1" name="Query - Post (3)" description="Connection to the 'Post (3)' query in the workbook." type="5" refreshedVersion="0" background="1">
    <dbPr connection="Provider=Microsoft.Mashup.OleDb.1;Data Source=$Workbook$;Location=&quot;Post (3)&quot;;Extended Properties=&quot;&quot;" command="SELECT * FROM [Post (3)]"/>
  </connection>
  <connection id="8" xr16:uid="{B73EEA62-F97F-4BB1-80A5-5A553AD0EE4E}" keepAlive="1" name="Query - Post (4)" description="Connection to the 'Post (4)' query in the workbook." type="5" refreshedVersion="8" background="1" saveData="1">
    <dbPr connection="Provider=Microsoft.Mashup.OleDb.1;Data Source=$Workbook$;Location=&quot;Post (4)&quot;;Extended Properties=&quot;&quot;" command="SELECT * FROM [Post (4)]"/>
  </connection>
  <connection id="9" xr16:uid="{58E7D444-34DD-4E60-8B16-2ED5F13D1A9A}" keepAlive="1" name="Query - Post (5)" description="Connection to the 'Post (5)' query in the workbook." type="5" refreshedVersion="8" background="1" saveData="1">
    <dbPr connection="Provider=Microsoft.Mashup.OleDb.1;Data Source=$Workbook$;Location=&quot;Post (5)&quot;;Extended Properties=&quot;&quot;" command="SELECT * FROM [Post (5)]"/>
  </connection>
</connections>
</file>

<file path=xl/sharedStrings.xml><?xml version="1.0" encoding="utf-8"?>
<sst xmlns="http://schemas.openxmlformats.org/spreadsheetml/2006/main" count="39" uniqueCount="24">
  <si>
    <t>Campaign_Name</t>
  </si>
  <si>
    <t>FashionUpgrade</t>
  </si>
  <si>
    <t>EndOfSeasonSale</t>
  </si>
  <si>
    <t>MyntraFestiveEdit</t>
  </si>
  <si>
    <t>StyleRevolution</t>
  </si>
  <si>
    <t>Start_Date</t>
  </si>
  <si>
    <t>End_Date</t>
  </si>
  <si>
    <t>Total_Budget</t>
  </si>
  <si>
    <t>Average of Clicks</t>
  </si>
  <si>
    <t>Sum of Likes</t>
  </si>
  <si>
    <t>Sum of Impressions</t>
  </si>
  <si>
    <t>Sum of Clicks</t>
  </si>
  <si>
    <t>Average of Likes</t>
  </si>
  <si>
    <t>Average of Impressions</t>
  </si>
  <si>
    <t>Campaign_Days</t>
  </si>
  <si>
    <t>Pre_Campaign_Period</t>
  </si>
  <si>
    <t>Engagement_During</t>
  </si>
  <si>
    <t>Engagement_Before</t>
  </si>
  <si>
    <t>Daily_Engagement_Before</t>
  </si>
  <si>
    <t>Daily_Engagement_During</t>
  </si>
  <si>
    <t>Engagement_Uplift</t>
  </si>
  <si>
    <t>Total Engagement</t>
  </si>
  <si>
    <t>Engagement_Per_Rupee</t>
  </si>
  <si>
    <t>Total_Follower_Growth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</si>
</sst>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2" formatCode="0.0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9526</xdr:colOff>
      <xdr:row>8</xdr:row>
      <xdr:rowOff>9525</xdr:rowOff>
    </xdr:from>
    <xdr:ext cx="3009900" cy="11239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EE80A9-67D0-DF70-030A-4F20D586F0F2}"/>
            </a:ext>
          </a:extLst>
        </xdr:cNvPr>
        <xdr:cNvSpPr txBox="1"/>
      </xdr:nvSpPr>
      <xdr:spPr>
        <a:xfrm>
          <a:off x="2647951" y="1533525"/>
          <a:ext cx="3009900" cy="11239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MyntraFestiveEdit</a:t>
          </a:r>
          <a:r>
            <a:rPr lang="en-IN"/>
            <a:t> delivers the </a:t>
          </a:r>
          <a:r>
            <a:rPr lang="en-IN" b="1"/>
            <a:t>highest click </a:t>
          </a:r>
          <a:r>
            <a:rPr lang="en-IN"/>
            <a:t>efficiency, </a:t>
          </a:r>
          <a:r>
            <a:rPr lang="en-IN" b="1"/>
            <a:t>FashionUpgrade</a:t>
          </a:r>
          <a:r>
            <a:rPr lang="en-IN"/>
            <a:t> drives the </a:t>
          </a:r>
          <a:r>
            <a:rPr lang="en-IN" b="1"/>
            <a:t>strongest engagement quality</a:t>
          </a:r>
          <a:r>
            <a:rPr lang="en-IN"/>
            <a:t>, and </a:t>
          </a:r>
          <a:r>
            <a:rPr lang="en-IN" b="1"/>
            <a:t>EndOfSeasonSale maximizes reach</a:t>
          </a:r>
          <a:r>
            <a:rPr lang="en-IN"/>
            <a:t>, highlighting the need for campaign-specific content strategies aligned with funnel objectives.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0</xdr:row>
      <xdr:rowOff>171450</xdr:rowOff>
    </xdr:from>
    <xdr:ext cx="4486275" cy="4857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8CF8DC-2779-FCE2-8FE8-AF7FF7DD8A11}"/>
            </a:ext>
          </a:extLst>
        </xdr:cNvPr>
        <xdr:cNvSpPr txBox="1"/>
      </xdr:nvSpPr>
      <xdr:spPr>
        <a:xfrm>
          <a:off x="5810250" y="171450"/>
          <a:ext cx="4486275" cy="4857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The campaign </a:t>
          </a:r>
          <a:r>
            <a:rPr lang="en-IN" sz="1100" b="1"/>
            <a:t>FashionUpgrade </a:t>
          </a:r>
          <a:r>
            <a:rPr lang="en-IN" sz="1100" b="0"/>
            <a:t>has</a:t>
          </a:r>
          <a:r>
            <a:rPr lang="en-IN" sz="1100" b="0" baseline="0"/>
            <a:t> highest ROI as it return good engagement at every rupee spent </a:t>
          </a:r>
          <a:endParaRPr lang="en-IN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0</xdr:row>
      <xdr:rowOff>171450</xdr:rowOff>
    </xdr:from>
    <xdr:to>
      <xdr:col>6</xdr:col>
      <xdr:colOff>247649</xdr:colOff>
      <xdr:row>3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5E69C2-9867-EDE6-C645-C922054821EC}"/>
            </a:ext>
          </a:extLst>
        </xdr:cNvPr>
        <xdr:cNvSpPr txBox="1"/>
      </xdr:nvSpPr>
      <xdr:spPr>
        <a:xfrm>
          <a:off x="3076574" y="171450"/>
          <a:ext cx="2486025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StyleRevolution</a:t>
          </a:r>
          <a:r>
            <a:rPr lang="en-IN" sz="1100" baseline="0"/>
            <a:t> droves the strongest follower growth rate</a:t>
          </a:r>
          <a:endParaRPr lang="en-IN" sz="1100"/>
        </a:p>
      </xdr:txBody>
    </xdr:sp>
    <xdr:clientData/>
  </xdr:twoCellAnchor>
  <xdr:twoCellAnchor>
    <xdr:from>
      <xdr:col>7</xdr:col>
      <xdr:colOff>361950</xdr:colOff>
      <xdr:row>13</xdr:row>
      <xdr:rowOff>38100</xdr:rowOff>
    </xdr:from>
    <xdr:to>
      <xdr:col>8</xdr:col>
      <xdr:colOff>133350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F309A9-2BF7-89CC-F6EF-740365BE8366}"/>
            </a:ext>
          </a:extLst>
        </xdr:cNvPr>
        <xdr:cNvSpPr txBox="1"/>
      </xdr:nvSpPr>
      <xdr:spPr>
        <a:xfrm>
          <a:off x="6286500" y="2514600"/>
          <a:ext cx="381000" cy="5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yntra_Social_Media_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3.907964930557" createdVersion="8" refreshedVersion="8" minRefreshableVersion="3" recordCount="300" xr:uid="{386CF0F0-4923-49E2-BD01-7822581971FF}">
  <cacheSource type="worksheet">
    <worksheetSource ref="A1:O301" sheet="Post" r:id="rId2"/>
  </cacheSource>
  <cacheFields count="14">
    <cacheField name="Post ID" numFmtId="0">
      <sharedItems/>
    </cacheField>
    <cacheField name="Platform" numFmtId="0">
      <sharedItems/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9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s v="2024-12-23"/>
    <s v="Reel"/>
    <s v="Explore the latest reel on Myntra! Trendy styles await."/>
    <n v="1461"/>
    <n v="184"/>
    <n v="344"/>
    <n v="21915"/>
    <n v="9.0759753593429152E-2"/>
    <n v="21675"/>
    <n v="15"/>
    <s v="#MyntraSale"/>
    <x v="0"/>
  </r>
  <r>
    <s v="P002"/>
    <s v="Twitter"/>
    <s v="2025-04-03"/>
    <s v="Text"/>
    <s v="Explore the latest text on Myntra! Trendy styles await."/>
    <n v="4054"/>
    <n v="389"/>
    <n v="493"/>
    <n v="64864"/>
    <n v="7.6097681302417369E-2"/>
    <n v="64383"/>
    <n v="117"/>
    <s v="#MyntraFashion"/>
    <x v="1"/>
  </r>
  <r>
    <s v="P003"/>
    <s v="YouTube"/>
    <s v="2025-05-12"/>
    <s v="Reel"/>
    <s v="Explore the latest reel on Myntra! Trendy styles await."/>
    <n v="2795"/>
    <n v="105"/>
    <n v="49"/>
    <n v="53105"/>
    <n v="5.5531494209584788E-2"/>
    <n v="52307"/>
    <n v="204"/>
    <s v="#MyntraFashion,#MyntraSale"/>
    <x v="0"/>
  </r>
  <r>
    <s v="P004"/>
    <s v="Instagram"/>
    <s v="2024-08-12"/>
    <s v="Story"/>
    <s v="Explore the latest story on Myntra! Trendy styles await."/>
    <n v="2404"/>
    <n v="363"/>
    <n v="138"/>
    <n v="19232"/>
    <n v="0.15105033277870217"/>
    <n v="18636"/>
    <n v="128"/>
    <s v="#MyntraSale"/>
    <x v="0"/>
  </r>
  <r>
    <s v="P005"/>
    <s v="YouTube"/>
    <s v="2024-06-26"/>
    <s v="Reel"/>
    <s v="Explore the latest reel on Myntra! Trendy styles await."/>
    <n v="3557"/>
    <n v="687"/>
    <n v="424"/>
    <n v="71140"/>
    <n v="6.5617093055946027E-2"/>
    <n v="70701"/>
    <n v="224"/>
    <s v="#StyleWithMyntra,#MyntraFashion"/>
    <x v="2"/>
  </r>
  <r>
    <s v="P006"/>
    <s v="Facebook"/>
    <s v="2024-10-31"/>
    <s v="Carousel"/>
    <s v="Explore the latest carousel on Myntra! Trendy styles await."/>
    <n v="2945"/>
    <n v="930"/>
    <n v="355"/>
    <n v="23560"/>
    <n v="0.17954159592529711"/>
    <n v="23275"/>
    <n v="256"/>
    <s v="#MyntraTrend"/>
    <x v="1"/>
  </r>
  <r>
    <s v="P007"/>
    <s v="Twitter"/>
    <s v="2024-06-24"/>
    <s v="Carousel"/>
    <s v="Explore the latest carousel on Myntra! Trendy styles await."/>
    <n v="3860"/>
    <n v="201"/>
    <n v="279"/>
    <n v="61760"/>
    <n v="7.0272020725388601E-2"/>
    <n v="61660"/>
    <n v="235"/>
    <s v="#MyntraTrend"/>
    <x v="2"/>
  </r>
  <r>
    <s v="P008"/>
    <s v="YouTube"/>
    <s v="2024-07-13"/>
    <s v="Image"/>
    <s v="Explore the latest image on Myntra! Trendy styles await."/>
    <n v="3929"/>
    <n v="262"/>
    <n v="278"/>
    <n v="43219"/>
    <n v="0.10340359564080613"/>
    <n v="42841"/>
    <n v="39"/>
    <s v="#MyntraFashion,#MyntraSale"/>
    <x v="2"/>
  </r>
  <r>
    <s v="P009"/>
    <s v="Facebook"/>
    <s v="2024-08-30"/>
    <s v="Text"/>
    <s v="Explore the latest text on Myntra! Trendy styles await."/>
    <n v="3784"/>
    <n v="808"/>
    <n v="404"/>
    <n v="56760"/>
    <n v="8.8019732205778717E-2"/>
    <n v="56343"/>
    <n v="131"/>
    <s v="#MyntraFashion,#MyntraSale"/>
    <x v="2"/>
  </r>
  <r>
    <s v="P010"/>
    <s v="Facebook"/>
    <s v="2025-03-11"/>
    <s v="Image"/>
    <s v="Explore the latest image on Myntra! Trendy styles await."/>
    <n v="4241"/>
    <n v="902"/>
    <n v="47"/>
    <n v="72097"/>
    <n v="7.198635172059864E-2"/>
    <n v="71598"/>
    <n v="167"/>
    <s v="#MyntraTrend"/>
    <x v="3"/>
  </r>
  <r>
    <s v="P011"/>
    <s v="Instagram"/>
    <s v="2025-02-02"/>
    <s v="Story"/>
    <s v="Explore the latest story on Myntra! Trendy styles await."/>
    <n v="1792"/>
    <n v="614"/>
    <n v="497"/>
    <n v="25088"/>
    <n v="0.11571269132653061"/>
    <n v="24675"/>
    <n v="65"/>
    <s v="#StyleWithMyntra"/>
    <x v="0"/>
  </r>
  <r>
    <s v="P012"/>
    <s v="Facebook"/>
    <s v="2024-07-21"/>
    <s v="Reel"/>
    <s v="Explore the latest reel on Myntra! Trendy styles await."/>
    <n v="1946"/>
    <n v="686"/>
    <n v="377"/>
    <n v="23352"/>
    <n v="0.12885405960945528"/>
    <n v="22982"/>
    <n v="213"/>
    <s v="#StyleWithMyntra,#MyntraSale"/>
    <x v="2"/>
  </r>
  <r>
    <s v="P013"/>
    <s v="YouTube"/>
    <s v="2024-11-18"/>
    <s v="Carousel"/>
    <s v="Explore the latest carousel on Myntra! Trendy styles await."/>
    <n v="1171"/>
    <n v="286"/>
    <n v="231"/>
    <n v="22249"/>
    <n v="7.5868578363072495E-2"/>
    <n v="21282"/>
    <n v="114"/>
    <s v="#MyntraFashion"/>
    <x v="3"/>
  </r>
  <r>
    <s v="P014"/>
    <s v="Facebook"/>
    <s v="2025-02-16"/>
    <s v="Story"/>
    <s v="Explore the latest story on Myntra! Trendy styles await."/>
    <n v="4242"/>
    <n v="555"/>
    <n v="131"/>
    <n v="33936"/>
    <n v="0.14521452145214522"/>
    <n v="33802"/>
    <n v="265"/>
    <s v="#MyntraSale,#MyntraFashion"/>
    <x v="2"/>
  </r>
  <r>
    <s v="P015"/>
    <s v="Facebook"/>
    <s v="2024-10-24"/>
    <s v="Video"/>
    <s v="Explore the latest video on Myntra! Trendy styles await."/>
    <n v="3888"/>
    <n v="604"/>
    <n v="128"/>
    <n v="77760"/>
    <n v="5.941358024691358E-2"/>
    <n v="77167"/>
    <n v="20"/>
    <s v="#MyntraFashion,#FashionDeals"/>
    <x v="0"/>
  </r>
  <r>
    <s v="P016"/>
    <s v="Facebook"/>
    <s v="2024-08-26"/>
    <s v="Text"/>
    <s v="Explore the latest text on Myntra! Trendy styles await."/>
    <n v="3452"/>
    <n v="377"/>
    <n v="360"/>
    <n v="55232"/>
    <n v="7.5843713789107758E-2"/>
    <n v="55075"/>
    <n v="87"/>
    <s v="#MyntraSale,#FashionDeals"/>
    <x v="2"/>
  </r>
  <r>
    <s v="P017"/>
    <s v="Facebook"/>
    <s v="2025-05-05"/>
    <s v="Text"/>
    <s v="Explore the latest text on Myntra! Trendy styles await."/>
    <n v="4441"/>
    <n v="511"/>
    <n v="70"/>
    <n v="53292"/>
    <n v="9.4235532537716729E-2"/>
    <n v="53082"/>
    <n v="159"/>
    <s v="#FashionDeals"/>
    <x v="2"/>
  </r>
  <r>
    <s v="P018"/>
    <s v="Instagram"/>
    <s v="2024-08-19"/>
    <s v="Reel"/>
    <s v="Explore the latest reel on Myntra! Trendy styles await."/>
    <n v="3000"/>
    <n v="382"/>
    <n v="325"/>
    <n v="36000"/>
    <n v="0.10297222222222223"/>
    <n v="35819"/>
    <n v="19"/>
    <s v="#StyleWithMyntra"/>
    <x v="1"/>
  </r>
  <r>
    <s v="P019"/>
    <s v="Instagram"/>
    <s v="2024-06-23"/>
    <s v="Video"/>
    <s v="Explore the latest video on Myntra! Trendy styles await."/>
    <n v="1071"/>
    <n v="519"/>
    <n v="22"/>
    <n v="16065"/>
    <n v="0.10034235916588857"/>
    <n v="15865"/>
    <n v="103"/>
    <s v="#MyntraSale,#StyleWithMyntra"/>
    <x v="2"/>
  </r>
  <r>
    <s v="P020"/>
    <s v="Instagram"/>
    <s v="2024-09-09"/>
    <s v="Carousel"/>
    <s v="Explore the latest carousel on Myntra! Trendy styles await."/>
    <n v="4054"/>
    <n v="488"/>
    <n v="373"/>
    <n v="77026"/>
    <n v="6.3809622724794221E-2"/>
    <n v="76881"/>
    <n v="25"/>
    <s v="#MyntraFashion,#MyntraSale"/>
    <x v="2"/>
  </r>
  <r>
    <s v="P021"/>
    <s v="Instagram"/>
    <s v="2025-01-04"/>
    <s v="Reel"/>
    <s v="Explore the latest reel on Myntra! Trendy styles await."/>
    <n v="4838"/>
    <n v="640"/>
    <n v="128"/>
    <n v="72570"/>
    <n v="7.7249552156538517E-2"/>
    <n v="72396"/>
    <n v="83"/>
    <s v="#StyleWithMyntra,#MyntraTrend"/>
    <x v="2"/>
  </r>
  <r>
    <s v="P022"/>
    <s v="Facebook"/>
    <s v="2025-02-27"/>
    <s v="Text"/>
    <s v="Explore the latest text on Myntra! Trendy styles await."/>
    <n v="1570"/>
    <n v="187"/>
    <n v="260"/>
    <n v="25120"/>
    <n v="8.0294585987261149E-2"/>
    <n v="24613"/>
    <n v="133"/>
    <s v="#MyntraSale"/>
    <x v="3"/>
  </r>
  <r>
    <s v="P023"/>
    <s v="Facebook"/>
    <s v="2024-11-06"/>
    <s v="Video"/>
    <s v="Explore the latest video on Myntra! Trendy styles await."/>
    <n v="1606"/>
    <n v="547"/>
    <n v="316"/>
    <n v="32120"/>
    <n v="7.6867995018679955E-2"/>
    <n v="31736"/>
    <n v="225"/>
    <s v="#MyntraSale"/>
    <x v="2"/>
  </r>
  <r>
    <s v="P024"/>
    <s v="Facebook"/>
    <s v="2025-01-23"/>
    <s v="Video"/>
    <s v="Explore the latest video on Myntra! Trendy styles await."/>
    <n v="3961"/>
    <n v="761"/>
    <n v="131"/>
    <n v="67337"/>
    <n v="7.2070332803659209E-2"/>
    <n v="66615"/>
    <n v="161"/>
    <s v="#MyntraTrend"/>
    <x v="1"/>
  </r>
  <r>
    <s v="P025"/>
    <s v="Twitter"/>
    <s v="2025-04-10"/>
    <s v="Carousel"/>
    <s v="Explore the latest carousel on Myntra! Trendy styles await."/>
    <n v="3128"/>
    <n v="211"/>
    <n v="197"/>
    <n v="59432"/>
    <n v="5.9496567505720827E-2"/>
    <n v="59182"/>
    <n v="238"/>
    <s v="#StyleWithMyntra,#MyntraSale"/>
    <x v="0"/>
  </r>
  <r>
    <s v="P026"/>
    <s v="YouTube"/>
    <s v="2025-04-05"/>
    <s v="Reel"/>
    <s v="Explore the latest reel on Myntra! Trendy styles await."/>
    <n v="3009"/>
    <n v="413"/>
    <n v="358"/>
    <n v="42126"/>
    <n v="8.9730807577268201E-2"/>
    <n v="41309"/>
    <n v="211"/>
    <s v="#MyntraSale"/>
    <x v="1"/>
  </r>
  <r>
    <s v="P027"/>
    <s v="YouTube"/>
    <s v="2024-09-17"/>
    <s v="Text"/>
    <s v="Explore the latest text on Myntra! Trendy styles await."/>
    <n v="2076"/>
    <n v="195"/>
    <n v="104"/>
    <n v="33216"/>
    <n v="7.1501685934489398E-2"/>
    <n v="32244"/>
    <n v="51"/>
    <s v="#MyntraTrend"/>
    <x v="3"/>
  </r>
  <r>
    <s v="P028"/>
    <s v="Instagram"/>
    <s v="2025-03-04"/>
    <s v="Video"/>
    <s v="Explore the latest video on Myntra! Trendy styles await."/>
    <n v="432"/>
    <n v="624"/>
    <n v="123"/>
    <n v="6912"/>
    <n v="0.17057291666666666"/>
    <n v="6259"/>
    <n v="79"/>
    <s v="#MyntraSale,#MyntraTrend"/>
    <x v="1"/>
  </r>
  <r>
    <s v="P029"/>
    <s v="Instagram"/>
    <s v="2025-01-31"/>
    <s v="Carousel"/>
    <s v="Explore the latest carousel on Myntra! Trendy styles await."/>
    <n v="2566"/>
    <n v="118"/>
    <n v="37"/>
    <n v="12830"/>
    <n v="0.21208106001558846"/>
    <n v="12264"/>
    <n v="221"/>
    <s v="#MyntraTrend,#MyntraFashion"/>
    <x v="2"/>
  </r>
  <r>
    <s v="P030"/>
    <s v="Instagram"/>
    <s v="2025-02-25"/>
    <s v="Video"/>
    <s v="Explore the latest video on Myntra! Trendy styles await."/>
    <n v="3095"/>
    <n v="39"/>
    <n v="78"/>
    <n v="55710"/>
    <n v="5.7655717106444085E-2"/>
    <n v="54808"/>
    <n v="93"/>
    <s v="#MyntraSale"/>
    <x v="3"/>
  </r>
  <r>
    <s v="P031"/>
    <s v="Instagram"/>
    <s v="2024-12-16"/>
    <s v="Text"/>
    <s v="Explore the latest text on Myntra! Trendy styles await."/>
    <n v="438"/>
    <n v="153"/>
    <n v="275"/>
    <n v="3066"/>
    <n v="0.28245270711024134"/>
    <n v="2701"/>
    <n v="282"/>
    <s v="#MyntraTrend"/>
    <x v="3"/>
  </r>
  <r>
    <s v="P032"/>
    <s v="Twitter"/>
    <s v="2024-07-31"/>
    <s v="Carousel"/>
    <s v="Explore the latest carousel on Myntra! Trendy styles await."/>
    <n v="2278"/>
    <n v="10"/>
    <n v="321"/>
    <n v="13668"/>
    <n v="0.19088381621305239"/>
    <n v="12676"/>
    <n v="275"/>
    <s v="#MyntraTrend,#MyntraFashion"/>
    <x v="3"/>
  </r>
  <r>
    <s v="P033"/>
    <s v="Facebook"/>
    <s v="2024-08-21"/>
    <s v="Image"/>
    <s v="Explore the latest image on Myntra! Trendy styles await."/>
    <n v="1407"/>
    <n v="400"/>
    <n v="351"/>
    <n v="16884"/>
    <n v="0.12781331438047855"/>
    <n v="15954"/>
    <n v="113"/>
    <s v="#MyntraFashion,#FashionDeals"/>
    <x v="2"/>
  </r>
  <r>
    <s v="P034"/>
    <s v="Facebook"/>
    <s v="2025-03-26"/>
    <s v="Text"/>
    <s v="Explore the latest text on Myntra! Trendy styles await."/>
    <n v="1652"/>
    <n v="89"/>
    <n v="357"/>
    <n v="29736"/>
    <n v="7.055421038471886E-2"/>
    <n v="28771"/>
    <n v="215"/>
    <s v="#MyntraTrend,#FashionDeals"/>
    <x v="1"/>
  </r>
  <r>
    <s v="P035"/>
    <s v="Instagram"/>
    <s v="2024-11-30"/>
    <s v="Video"/>
    <s v="Explore the latest video on Myntra! Trendy styles await."/>
    <n v="3775"/>
    <n v="16"/>
    <n v="239"/>
    <n v="33975"/>
    <n v="0.11861662987490802"/>
    <n v="33310"/>
    <n v="271"/>
    <s v="#StyleWithMyntra,#MyntraSale"/>
    <x v="2"/>
  </r>
  <r>
    <s v="P036"/>
    <s v="Instagram"/>
    <s v="2025-04-19"/>
    <s v="Story"/>
    <s v="Explore the latest story on Myntra! Trendy styles await."/>
    <n v="4518"/>
    <n v="285"/>
    <n v="383"/>
    <n v="67770"/>
    <n v="7.6523535487678915E-2"/>
    <n v="67621"/>
    <n v="31"/>
    <s v="#FashionDeals"/>
    <x v="1"/>
  </r>
  <r>
    <s v="P037"/>
    <s v="Facebook"/>
    <s v="2025-01-06"/>
    <s v="Carousel"/>
    <s v="Explore the latest carousel on Myntra! Trendy styles await."/>
    <n v="3024"/>
    <n v="925"/>
    <n v="350"/>
    <n v="24192"/>
    <n v="0.17770337301587302"/>
    <n v="23518"/>
    <n v="36"/>
    <s v="#MyntraSale"/>
    <x v="2"/>
  </r>
  <r>
    <s v="P038"/>
    <s v="YouTube"/>
    <s v="2025-02-17"/>
    <s v="Reel"/>
    <s v="Explore the latest reel on Myntra! Trendy styles await."/>
    <n v="3138"/>
    <n v="123"/>
    <n v="291"/>
    <n v="28242"/>
    <n v="0.12577012959422137"/>
    <n v="27550"/>
    <n v="87"/>
    <s v="#FashionDeals"/>
    <x v="3"/>
  </r>
  <r>
    <s v="P039"/>
    <s v="Facebook"/>
    <s v="2024-11-25"/>
    <s v="Image"/>
    <s v="Explore the latest image on Myntra! Trendy styles await."/>
    <n v="3564"/>
    <n v="629"/>
    <n v="177"/>
    <n v="60588"/>
    <n v="7.2126493695121141E-2"/>
    <n v="59627"/>
    <n v="92"/>
    <s v="#FashionDeals,#MyntraSale"/>
    <x v="2"/>
  </r>
  <r>
    <s v="P040"/>
    <s v="Twitter"/>
    <s v="2025-03-07"/>
    <s v="Image"/>
    <s v="Explore the latest image on Myntra! Trendy styles await."/>
    <n v="4750"/>
    <n v="151"/>
    <n v="415"/>
    <n v="38000"/>
    <n v="0.13989473684210527"/>
    <n v="37792"/>
    <n v="299"/>
    <s v="#StyleWithMyntra,#MyntraSale"/>
    <x v="1"/>
  </r>
  <r>
    <s v="P041"/>
    <s v="Instagram"/>
    <s v="2025-03-08"/>
    <s v="Reel"/>
    <s v="Explore the latest reel on Myntra! Trendy styles await."/>
    <n v="456"/>
    <n v="629"/>
    <n v="428"/>
    <n v="8208"/>
    <n v="0.18433235867446393"/>
    <n v="7377"/>
    <n v="205"/>
    <s v="#MyntraSale,#FashionDeals"/>
    <x v="2"/>
  </r>
  <r>
    <s v="P042"/>
    <s v="YouTube"/>
    <s v="2025-03-05"/>
    <s v="Reel"/>
    <s v="Explore the latest reel on Myntra! Trendy styles await."/>
    <n v="1543"/>
    <n v="820"/>
    <n v="333"/>
    <n v="12344"/>
    <n v="0.21840570317563188"/>
    <n v="11496"/>
    <n v="241"/>
    <s v="#StyleWithMyntra"/>
    <x v="2"/>
  </r>
  <r>
    <s v="P043"/>
    <s v="Instagram"/>
    <s v="2024-12-14"/>
    <s v="Carousel"/>
    <s v="Explore the latest carousel on Myntra! Trendy styles await."/>
    <n v="2174"/>
    <n v="658"/>
    <n v="15"/>
    <n v="13044"/>
    <n v="0.21826126954921804"/>
    <n v="12206"/>
    <n v="137"/>
    <s v="#MyntraSale,#MyntraFashion"/>
    <x v="3"/>
  </r>
  <r>
    <s v="P044"/>
    <s v="Twitter"/>
    <s v="2025-03-02"/>
    <s v="Image"/>
    <s v="Explore the latest image on Myntra! Trendy styles await."/>
    <n v="2358"/>
    <n v="784"/>
    <n v="344"/>
    <n v="35370"/>
    <n v="9.8558100084817649E-2"/>
    <n v="34475"/>
    <n v="216"/>
    <s v="#MyntraSale,#StyleWithMyntra"/>
    <x v="0"/>
  </r>
  <r>
    <s v="P045"/>
    <s v="Facebook"/>
    <s v="2024-11-01"/>
    <s v="Video"/>
    <s v="Explore the latest video on Myntra! Trendy styles await."/>
    <n v="3371"/>
    <n v="106"/>
    <n v="327"/>
    <n v="50565"/>
    <n v="7.5229902106199939E-2"/>
    <n v="49816"/>
    <n v="176"/>
    <s v="#FashionDeals"/>
    <x v="3"/>
  </r>
  <r>
    <s v="P046"/>
    <s v="Twitter"/>
    <s v="2025-05-02"/>
    <s v="Video"/>
    <s v="Explore the latest video on Myntra! Trendy styles await."/>
    <n v="1108"/>
    <n v="177"/>
    <n v="212"/>
    <n v="8864"/>
    <n v="0.16888537906137185"/>
    <n v="8710"/>
    <n v="97"/>
    <s v="#MyntraFashion"/>
    <x v="3"/>
  </r>
  <r>
    <s v="P047"/>
    <s v="Twitter"/>
    <s v="2025-02-24"/>
    <s v="Carousel"/>
    <s v="Explore the latest carousel on Myntra! Trendy styles await."/>
    <n v="2704"/>
    <n v="752"/>
    <n v="153"/>
    <n v="21632"/>
    <n v="0.16683616863905326"/>
    <n v="20792"/>
    <n v="127"/>
    <s v="#FashionDeals,#MyntraFashion"/>
    <x v="0"/>
  </r>
  <r>
    <s v="P048"/>
    <s v="Twitter"/>
    <s v="2025-03-11"/>
    <s v="Story"/>
    <s v="Explore the latest story on Myntra! Trendy styles await."/>
    <n v="1950"/>
    <n v="295"/>
    <n v="478"/>
    <n v="37050"/>
    <n v="7.349527665317139E-2"/>
    <n v="36272"/>
    <n v="119"/>
    <s v="#MyntraFashion,#StyleWithMyntra"/>
    <x v="3"/>
  </r>
  <r>
    <s v="P049"/>
    <s v="Twitter"/>
    <s v="2024-06-10"/>
    <s v="Story"/>
    <s v="Explore the latest story on Myntra! Trendy styles await."/>
    <n v="2164"/>
    <n v="549"/>
    <n v="274"/>
    <n v="28132"/>
    <n v="0.10617801791554102"/>
    <n v="27361"/>
    <n v="177"/>
    <s v="#StyleWithMyntra"/>
    <x v="0"/>
  </r>
  <r>
    <s v="P050"/>
    <s v="YouTube"/>
    <s v="2024-07-03"/>
    <s v="Story"/>
    <s v="Explore the latest story on Myntra! Trendy styles await."/>
    <n v="2754"/>
    <n v="130"/>
    <n v="90"/>
    <n v="22032"/>
    <n v="0.13498547567175018"/>
    <n v="21288"/>
    <n v="112"/>
    <s v="#MyntraFashion"/>
    <x v="0"/>
  </r>
  <r>
    <s v="P051"/>
    <s v="Facebook"/>
    <s v="2024-06-13"/>
    <s v="Carousel"/>
    <s v="Explore the latest carousel on Myntra! Trendy styles await."/>
    <n v="2200"/>
    <n v="504"/>
    <n v="239"/>
    <n v="37400"/>
    <n v="7.8689839572192513E-2"/>
    <n v="36938"/>
    <n v="225"/>
    <s v="#MyntraSale"/>
    <x v="2"/>
  </r>
  <r>
    <s v="P052"/>
    <s v="Facebook"/>
    <s v="2025-01-03"/>
    <s v="Image"/>
    <s v="Explore the latest image on Myntra! Trendy styles await."/>
    <n v="947"/>
    <n v="338"/>
    <n v="350"/>
    <n v="10417"/>
    <n v="0.1569549774407219"/>
    <n v="9730"/>
    <n v="34"/>
    <s v="#MyntraFashion,#MyntraSale"/>
    <x v="2"/>
  </r>
  <r>
    <s v="P053"/>
    <s v="YouTube"/>
    <s v="2025-02-24"/>
    <s v="Carousel"/>
    <s v="Explore the latest carousel on Myntra! Trendy styles await."/>
    <n v="804"/>
    <n v="639"/>
    <n v="43"/>
    <n v="4020"/>
    <n v="0.36965174129353234"/>
    <n v="3144"/>
    <n v="11"/>
    <s v="#StyleWithMyntra,#MyntraTrend"/>
    <x v="3"/>
  </r>
  <r>
    <s v="P054"/>
    <s v="YouTube"/>
    <s v="2025-03-13"/>
    <s v="Carousel"/>
    <s v="Explore the latest carousel on Myntra! Trendy styles await."/>
    <n v="1686"/>
    <n v="904"/>
    <n v="472"/>
    <n v="18546"/>
    <n v="0.16510298716704411"/>
    <n v="18171"/>
    <n v="52"/>
    <s v="#MyntraFashion,#FashionDeals"/>
    <x v="1"/>
  </r>
  <r>
    <s v="P055"/>
    <s v="Facebook"/>
    <s v="2024-06-17"/>
    <s v="Image"/>
    <s v="Explore the latest image on Myntra! Trendy styles await."/>
    <n v="1226"/>
    <n v="119"/>
    <n v="7"/>
    <n v="14712"/>
    <n v="9.1897770527460579E-2"/>
    <n v="14049"/>
    <n v="123"/>
    <s v="#MyntraSale,#MyntraTrend"/>
    <x v="3"/>
  </r>
  <r>
    <s v="P056"/>
    <s v="Facebook"/>
    <s v="2024-12-18"/>
    <s v="Carousel"/>
    <s v="Explore the latest carousel on Myntra! Trendy styles await."/>
    <n v="2946"/>
    <n v="498"/>
    <n v="367"/>
    <n v="29460"/>
    <n v="0.12936184657162253"/>
    <n v="28527"/>
    <n v="60"/>
    <s v="#StyleWithMyntra,#FashionDeals"/>
    <x v="1"/>
  </r>
  <r>
    <s v="P057"/>
    <s v="Twitter"/>
    <s v="2024-10-21"/>
    <s v="Video"/>
    <s v="Explore the latest video on Myntra! Trendy styles await."/>
    <n v="2825"/>
    <n v="535"/>
    <n v="295"/>
    <n v="45200"/>
    <n v="8.0862831858407078E-2"/>
    <n v="44739"/>
    <n v="169"/>
    <s v="#StyleWithMyntra"/>
    <x v="1"/>
  </r>
  <r>
    <s v="P058"/>
    <s v="Instagram"/>
    <s v="2025-04-15"/>
    <s v="Reel"/>
    <s v="Explore the latest reel on Myntra! Trendy styles await."/>
    <n v="103"/>
    <n v="770"/>
    <n v="19"/>
    <n v="1030"/>
    <n v="0.86601941747572819"/>
    <n v="410"/>
    <n v="262"/>
    <s v="#MyntraSale"/>
    <x v="2"/>
  </r>
  <r>
    <s v="P059"/>
    <s v="Instagram"/>
    <s v="2024-06-22"/>
    <s v="Text"/>
    <s v="Explore the latest text on Myntra! Trendy styles await."/>
    <n v="2180"/>
    <n v="263"/>
    <n v="387"/>
    <n v="30520"/>
    <n v="9.2726081258191345E-2"/>
    <n v="30059"/>
    <n v="174"/>
    <s v="#FashionDeals"/>
    <x v="0"/>
  </r>
  <r>
    <s v="P060"/>
    <s v="Instagram"/>
    <s v="2025-01-28"/>
    <s v="Video"/>
    <s v="Explore the latest video on Myntra! Trendy styles await."/>
    <n v="904"/>
    <n v="973"/>
    <n v="63"/>
    <n v="11752"/>
    <n v="0.1650782845473111"/>
    <n v="11580"/>
    <n v="84"/>
    <s v="#StyleWithMyntra"/>
    <x v="0"/>
  </r>
  <r>
    <s v="P061"/>
    <s v="Twitter"/>
    <s v="2024-09-05"/>
    <s v="Video"/>
    <s v="Explore the latest video on Myntra! Trendy styles await."/>
    <n v="4886"/>
    <n v="983"/>
    <n v="409"/>
    <n v="43974"/>
    <n v="0.14276618001546368"/>
    <n v="43239"/>
    <n v="65"/>
    <s v="#MyntraFashion"/>
    <x v="0"/>
  </r>
  <r>
    <s v="P062"/>
    <s v="Twitter"/>
    <s v="2024-11-22"/>
    <s v="Carousel"/>
    <s v="Explore the latest carousel on Myntra! Trendy styles await."/>
    <n v="53"/>
    <n v="81"/>
    <n v="379"/>
    <n v="954"/>
    <n v="0.53773584905660377"/>
    <n v="7"/>
    <n v="148"/>
    <s v="#FashionDeals"/>
    <x v="2"/>
  </r>
  <r>
    <s v="P063"/>
    <s v="Twitter"/>
    <s v="2024-07-31"/>
    <s v="Carousel"/>
    <s v="Explore the latest carousel on Myntra! Trendy styles await."/>
    <n v="4507"/>
    <n v="217"/>
    <n v="13"/>
    <n v="90140"/>
    <n v="5.2551586421122697E-2"/>
    <n v="89591"/>
    <n v="125"/>
    <s v="#MyntraSale"/>
    <x v="0"/>
  </r>
  <r>
    <s v="P064"/>
    <s v="Facebook"/>
    <s v="2024-08-17"/>
    <s v="Image"/>
    <s v="Explore the latest image on Myntra! Trendy styles await."/>
    <n v="2878"/>
    <n v="248"/>
    <n v="416"/>
    <n v="43170"/>
    <n v="8.2047718322909427E-2"/>
    <n v="42667"/>
    <n v="75"/>
    <s v="#FashionDeals,#MyntraTrend"/>
    <x v="1"/>
  </r>
  <r>
    <s v="P065"/>
    <s v="Instagram"/>
    <s v="2025-03-28"/>
    <s v="Story"/>
    <s v="Explore the latest story on Myntra! Trendy styles await."/>
    <n v="1881"/>
    <n v="501"/>
    <n v="99"/>
    <n v="20691"/>
    <n v="0.11990720603160794"/>
    <n v="19987"/>
    <n v="289"/>
    <s v="#FashionDeals"/>
    <x v="1"/>
  </r>
  <r>
    <s v="P066"/>
    <s v="Twitter"/>
    <s v="2024-07-26"/>
    <s v="Carousel"/>
    <s v="Explore the latest carousel on Myntra! Trendy styles await."/>
    <n v="432"/>
    <n v="171"/>
    <n v="280"/>
    <n v="3024"/>
    <n v="0.29199735449735448"/>
    <n v="2285"/>
    <n v="184"/>
    <s v="#MyntraFashion"/>
    <x v="2"/>
  </r>
  <r>
    <s v="P067"/>
    <s v="Facebook"/>
    <s v="2025-03-29"/>
    <s v="Carousel"/>
    <s v="Explore the latest carousel on Myntra! Trendy styles await."/>
    <n v="4712"/>
    <n v="568"/>
    <n v="127"/>
    <n v="84816"/>
    <n v="6.3749764195434822E-2"/>
    <n v="84691"/>
    <n v="100"/>
    <s v="#FashionDeals"/>
    <x v="0"/>
  </r>
  <r>
    <s v="P068"/>
    <s v="Instagram"/>
    <s v="2024-12-08"/>
    <s v="Story"/>
    <s v="Explore the latest story on Myntra! Trendy styles await."/>
    <n v="2610"/>
    <n v="126"/>
    <n v="288"/>
    <n v="15660"/>
    <n v="0.19310344827586207"/>
    <n v="15145"/>
    <n v="73"/>
    <s v="#MyntraFashion"/>
    <x v="0"/>
  </r>
  <r>
    <s v="P069"/>
    <s v="Twitter"/>
    <s v="2025-03-08"/>
    <s v="Text"/>
    <s v="Explore the latest text on Myntra! Trendy styles await."/>
    <n v="1292"/>
    <n v="626"/>
    <n v="496"/>
    <n v="25840"/>
    <n v="9.3421052631578946E-2"/>
    <n v="24916"/>
    <n v="149"/>
    <s v="#StyleWithMyntra,#MyntraTrend"/>
    <x v="3"/>
  </r>
  <r>
    <s v="P070"/>
    <s v="Facebook"/>
    <s v="2025-04-02"/>
    <s v="Video"/>
    <s v="Explore the latest video on Myntra! Trendy styles await."/>
    <n v="199"/>
    <n v="772"/>
    <n v="400"/>
    <n v="3582"/>
    <n v="0.38274706867671693"/>
    <n v="2988"/>
    <n v="43"/>
    <s v="#MyntraTrend"/>
    <x v="0"/>
  </r>
  <r>
    <s v="P071"/>
    <s v="YouTube"/>
    <s v="2024-09-02"/>
    <s v="Carousel"/>
    <s v="Explore the latest carousel on Myntra! Trendy styles await."/>
    <n v="2551"/>
    <n v="915"/>
    <n v="205"/>
    <n v="30612"/>
    <n v="0.1199202926956749"/>
    <n v="30360"/>
    <n v="227"/>
    <s v="#MyntraSale,#FashionDeals"/>
    <x v="1"/>
  </r>
  <r>
    <s v="P072"/>
    <s v="YouTube"/>
    <s v="2025-03-03"/>
    <s v="Reel"/>
    <s v="Explore the latest reel on Myntra! Trendy styles await."/>
    <n v="296"/>
    <n v="60"/>
    <n v="141"/>
    <n v="5624"/>
    <n v="8.837126600284495E-2"/>
    <n v="5239"/>
    <n v="88"/>
    <s v="#MyntraTrend"/>
    <x v="3"/>
  </r>
  <r>
    <s v="P073"/>
    <s v="Facebook"/>
    <s v="2024-10-18"/>
    <s v="Story"/>
    <s v="Explore the latest story on Myntra! Trendy styles await."/>
    <n v="4126"/>
    <n v="426"/>
    <n v="486"/>
    <n v="78394"/>
    <n v="6.4265122330790625E-2"/>
    <n v="77798"/>
    <n v="88"/>
    <s v="#MyntraFashion"/>
    <x v="0"/>
  </r>
  <r>
    <s v="P074"/>
    <s v="YouTube"/>
    <s v="2024-10-28"/>
    <s v="Reel"/>
    <s v="Explore the latest reel on Myntra! Trendy styles await."/>
    <n v="1855"/>
    <n v="200"/>
    <n v="174"/>
    <n v="16695"/>
    <n v="0.13351302785265048"/>
    <n v="16330"/>
    <n v="123"/>
    <s v="#MyntraFashion"/>
    <x v="2"/>
  </r>
  <r>
    <s v="P075"/>
    <s v="Instagram"/>
    <s v="2024-08-01"/>
    <s v="Reel"/>
    <s v="Explore the latest reel on Myntra! Trendy styles await."/>
    <n v="1674"/>
    <n v="929"/>
    <n v="37"/>
    <n v="21762"/>
    <n v="0.12131237937689551"/>
    <n v="20998"/>
    <n v="255"/>
    <s v="#StyleWithMyntra,#FashionDeals"/>
    <x v="2"/>
  </r>
  <r>
    <s v="P076"/>
    <s v="Twitter"/>
    <s v="2024-11-07"/>
    <s v="Story"/>
    <s v="Explore the latest story on Myntra! Trendy styles await."/>
    <n v="1121"/>
    <n v="135"/>
    <n v="18"/>
    <n v="15694"/>
    <n v="8.1177520071364848E-2"/>
    <n v="14957"/>
    <n v="99"/>
    <s v="#MyntraSale,#MyntraFashion"/>
    <x v="3"/>
  </r>
  <r>
    <s v="P077"/>
    <s v="Facebook"/>
    <s v="2025-03-04"/>
    <s v="Story"/>
    <s v="Explore the latest story on Myntra! Trendy styles await."/>
    <n v="1249"/>
    <n v="116"/>
    <n v="420"/>
    <n v="8743"/>
    <n v="0.20416333066453163"/>
    <n v="8538"/>
    <n v="63"/>
    <s v="#MyntraFashion,#FashionDeals"/>
    <x v="2"/>
  </r>
  <r>
    <s v="P078"/>
    <s v="Twitter"/>
    <s v="2024-06-17"/>
    <s v="Image"/>
    <s v="Explore the latest image on Myntra! Trendy styles await."/>
    <n v="954"/>
    <n v="324"/>
    <n v="288"/>
    <n v="19080"/>
    <n v="8.2075471698113203E-2"/>
    <n v="18859"/>
    <n v="21"/>
    <s v="#MyntraTrend"/>
    <x v="2"/>
  </r>
  <r>
    <s v="P079"/>
    <s v="Instagram"/>
    <s v="2024-10-09"/>
    <s v="Carousel"/>
    <s v="Explore the latest carousel on Myntra! Trendy styles await."/>
    <n v="3068"/>
    <n v="137"/>
    <n v="329"/>
    <n v="39884"/>
    <n v="8.860696018453515E-2"/>
    <n v="39404"/>
    <n v="266"/>
    <s v="#MyntraSale,#MyntraTrend"/>
    <x v="2"/>
  </r>
  <r>
    <s v="P080"/>
    <s v="Instagram"/>
    <s v="2024-06-13"/>
    <s v="Story"/>
    <s v="Explore the latest story on Myntra! Trendy styles await."/>
    <n v="2103"/>
    <n v="892"/>
    <n v="103"/>
    <n v="39957"/>
    <n v="7.7533348349475686E-2"/>
    <n v="39466"/>
    <n v="28"/>
    <s v="#FashionDeals,#MyntraFashion"/>
    <x v="1"/>
  </r>
  <r>
    <s v="P081"/>
    <s v="Instagram"/>
    <s v="2024-10-19"/>
    <s v="Story"/>
    <s v="Explore the latest story on Myntra! Trendy styles await."/>
    <n v="1816"/>
    <n v="29"/>
    <n v="41"/>
    <n v="19976"/>
    <n v="9.4413295955146179E-2"/>
    <n v="19262"/>
    <n v="283"/>
    <s v="#MyntraTrend,#MyntraSale"/>
    <x v="2"/>
  </r>
  <r>
    <s v="P082"/>
    <s v="Instagram"/>
    <s v="2024-07-24"/>
    <s v="Image"/>
    <s v="Explore the latest image on Myntra! Trendy styles await."/>
    <n v="725"/>
    <n v="88"/>
    <n v="428"/>
    <n v="14500"/>
    <n v="8.558620689655172E-2"/>
    <n v="13637"/>
    <n v="200"/>
    <s v="#MyntraTrend"/>
    <x v="2"/>
  </r>
  <r>
    <s v="P083"/>
    <s v="YouTube"/>
    <s v="2024-10-15"/>
    <s v="Video"/>
    <s v="Explore the latest video on Myntra! Trendy styles await."/>
    <n v="1094"/>
    <n v="472"/>
    <n v="21"/>
    <n v="9846"/>
    <n v="0.16118220597196831"/>
    <n v="9609"/>
    <n v="112"/>
    <s v="#MyntraTrend,#StyleWithMyntra"/>
    <x v="2"/>
  </r>
  <r>
    <s v="P084"/>
    <s v="Facebook"/>
    <s v="2024-12-09"/>
    <s v="Image"/>
    <s v="Explore the latest image on Myntra! Trendy styles await."/>
    <n v="1841"/>
    <n v="851"/>
    <n v="342"/>
    <n v="34979"/>
    <n v="8.6737756939878216E-2"/>
    <n v="34154"/>
    <n v="255"/>
    <s v="#MyntraFashion,#FashionDeals"/>
    <x v="0"/>
  </r>
  <r>
    <s v="P085"/>
    <s v="Instagram"/>
    <s v="2025-04-19"/>
    <s v="Image"/>
    <s v="Explore the latest image on Myntra! Trendy styles await."/>
    <n v="4177"/>
    <n v="569"/>
    <n v="55"/>
    <n v="25062"/>
    <n v="0.19156491900087783"/>
    <n v="24847"/>
    <n v="230"/>
    <s v="#MyntraFashion"/>
    <x v="0"/>
  </r>
  <r>
    <s v="P086"/>
    <s v="YouTube"/>
    <s v="2025-01-27"/>
    <s v="Text"/>
    <s v="Explore the latest text on Myntra! Trendy styles await."/>
    <n v="3428"/>
    <n v="305"/>
    <n v="85"/>
    <n v="58276"/>
    <n v="6.5515821264328367E-2"/>
    <n v="58052"/>
    <n v="242"/>
    <s v="#MyntraTrend,#StyleWithMyntra"/>
    <x v="2"/>
  </r>
  <r>
    <s v="P087"/>
    <s v="Twitter"/>
    <s v="2024-06-06"/>
    <s v="Video"/>
    <s v="Explore the latest video on Myntra! Trendy styles await."/>
    <n v="1436"/>
    <n v="765"/>
    <n v="496"/>
    <n v="12924"/>
    <n v="0.20868152274837512"/>
    <n v="12701"/>
    <n v="197"/>
    <s v="#MyntraTrend,#MyntraSale"/>
    <x v="1"/>
  </r>
  <r>
    <s v="P088"/>
    <s v="Facebook"/>
    <s v="2024-07-07"/>
    <s v="Story"/>
    <s v="Explore the latest story on Myntra! Trendy styles await."/>
    <n v="302"/>
    <n v="47"/>
    <n v="430"/>
    <n v="5738"/>
    <n v="0.13576158940397351"/>
    <n v="4890"/>
    <n v="25"/>
    <s v="#MyntraFashion,#MyntraSale"/>
    <x v="1"/>
  </r>
  <r>
    <s v="P089"/>
    <s v="Twitter"/>
    <s v="2025-01-10"/>
    <s v="Image"/>
    <s v="Explore the latest image on Myntra! Trendy styles await."/>
    <n v="2214"/>
    <n v="249"/>
    <n v="152"/>
    <n v="15498"/>
    <n v="0.16873144921925409"/>
    <n v="14800"/>
    <n v="180"/>
    <s v="#MyntraSale"/>
    <x v="1"/>
  </r>
  <r>
    <s v="P090"/>
    <s v="Instagram"/>
    <s v="2024-06-03"/>
    <s v="Image"/>
    <s v="Explore the latest image on Myntra! Trendy styles await."/>
    <n v="3861"/>
    <n v="960"/>
    <n v="101"/>
    <n v="69498"/>
    <n v="7.0822181933293038E-2"/>
    <n v="68817"/>
    <n v="297"/>
    <s v="#MyntraFashion"/>
    <x v="1"/>
  </r>
  <r>
    <s v="P091"/>
    <s v="Facebook"/>
    <s v="2025-03-24"/>
    <s v="Image"/>
    <s v="Explore the latest image on Myntra! Trendy styles await."/>
    <n v="1263"/>
    <n v="397"/>
    <n v="357"/>
    <n v="25260"/>
    <n v="7.984956452889945E-2"/>
    <n v="24615"/>
    <n v="137"/>
    <s v="#MyntraSale"/>
    <x v="1"/>
  </r>
  <r>
    <s v="P092"/>
    <s v="Twitter"/>
    <s v="2024-10-21"/>
    <s v="Story"/>
    <s v="Explore the latest story on Myntra! Trendy styles await."/>
    <n v="3801"/>
    <n v="967"/>
    <n v="401"/>
    <n v="38010"/>
    <n v="0.13599052880820836"/>
    <n v="37625"/>
    <n v="236"/>
    <s v="#StyleWithMyntra"/>
    <x v="3"/>
  </r>
  <r>
    <s v="P093"/>
    <s v="Instagram"/>
    <s v="2024-12-11"/>
    <s v="Video"/>
    <s v="Explore the latest video on Myntra! Trendy styles await."/>
    <n v="1431"/>
    <n v="951"/>
    <n v="26"/>
    <n v="8586"/>
    <n v="0.28045655718611695"/>
    <n v="8396"/>
    <n v="150"/>
    <s v="#MyntraTrend,#FashionDeals"/>
    <x v="0"/>
  </r>
  <r>
    <s v="P094"/>
    <s v="Instagram"/>
    <s v="2024-11-07"/>
    <s v="Image"/>
    <s v="Explore the latest image on Myntra! Trendy styles await."/>
    <n v="2647"/>
    <n v="304"/>
    <n v="170"/>
    <n v="18529"/>
    <n v="0.16843866371633656"/>
    <n v="17841"/>
    <n v="46"/>
    <s v="#StyleWithMyntra"/>
    <x v="1"/>
  </r>
  <r>
    <s v="P095"/>
    <s v="Instagram"/>
    <s v="2024-11-08"/>
    <s v="Text"/>
    <s v="Explore the latest text on Myntra! Trendy styles await."/>
    <n v="3182"/>
    <n v="559"/>
    <n v="160"/>
    <n v="57276"/>
    <n v="6.8108806480899509E-2"/>
    <n v="56890"/>
    <n v="163"/>
    <s v="#StyleWithMyntra,#MyntraTrend"/>
    <x v="1"/>
  </r>
  <r>
    <s v="P096"/>
    <s v="Twitter"/>
    <s v="2024-09-10"/>
    <s v="Image"/>
    <s v="Explore the latest image on Myntra! Trendy styles await."/>
    <n v="1238"/>
    <n v="366"/>
    <n v="444"/>
    <n v="19808"/>
    <n v="0.10339256865912763"/>
    <n v="19334"/>
    <n v="123"/>
    <s v="#FashionDeals"/>
    <x v="2"/>
  </r>
  <r>
    <s v="P097"/>
    <s v="Instagram"/>
    <s v="2024-08-13"/>
    <s v="Image"/>
    <s v="Explore the latest image on Myntra! Trendy styles await."/>
    <n v="4739"/>
    <n v="527"/>
    <n v="135"/>
    <n v="61607"/>
    <n v="8.7668609086629767E-2"/>
    <n v="61333"/>
    <n v="36"/>
    <s v="#StyleWithMyntra,#MyntraSale"/>
    <x v="1"/>
  </r>
  <r>
    <s v="P098"/>
    <s v="Twitter"/>
    <s v="2024-06-10"/>
    <s v="Story"/>
    <s v="Explore the latest story on Myntra! Trendy styles await."/>
    <n v="1575"/>
    <n v="771"/>
    <n v="486"/>
    <n v="25200"/>
    <n v="0.11238095238095239"/>
    <n v="24826"/>
    <n v="17"/>
    <s v="#StyleWithMyntra"/>
    <x v="2"/>
  </r>
  <r>
    <s v="P099"/>
    <s v="YouTube"/>
    <s v="2024-07-02"/>
    <s v="Carousel"/>
    <s v="Explore the latest carousel on Myntra! Trendy styles await."/>
    <n v="4171"/>
    <n v="548"/>
    <n v="86"/>
    <n v="66736"/>
    <n v="7.2000119875329657E-2"/>
    <n v="66634"/>
    <n v="173"/>
    <s v="#StyleWithMyntra"/>
    <x v="2"/>
  </r>
  <r>
    <s v="P100"/>
    <s v="YouTube"/>
    <s v="2025-02-10"/>
    <s v="Video"/>
    <s v="Explore the latest video on Myntra! Trendy styles await."/>
    <n v="1766"/>
    <n v="92"/>
    <n v="424"/>
    <n v="24724"/>
    <n v="9.2298980747451867E-2"/>
    <n v="24333"/>
    <n v="52"/>
    <s v="#StyleWithMyntra"/>
    <x v="0"/>
  </r>
  <r>
    <s v="P101"/>
    <s v="YouTube"/>
    <s v="2024-10-18"/>
    <s v="Video"/>
    <s v="Explore the latest video on Myntra! Trendy styles await."/>
    <n v="4450"/>
    <n v="983"/>
    <n v="143"/>
    <n v="75650"/>
    <n v="7.3707865168539333E-2"/>
    <n v="75008"/>
    <n v="12"/>
    <s v="#MyntraSale,#StyleWithMyntra"/>
    <x v="1"/>
  </r>
  <r>
    <s v="P102"/>
    <s v="Twitter"/>
    <s v="2024-09-18"/>
    <s v="Reel"/>
    <s v="Explore the latest reel on Myntra! Trendy styles await."/>
    <n v="1000"/>
    <n v="978"/>
    <n v="162"/>
    <n v="6000"/>
    <n v="0.35666666666666669"/>
    <n v="5221"/>
    <n v="223"/>
    <s v="#MyntraTrend,#MyntraFashion"/>
    <x v="2"/>
  </r>
  <r>
    <s v="P103"/>
    <s v="Facebook"/>
    <s v="2024-06-11"/>
    <s v="Image"/>
    <s v="Explore the latest image on Myntra! Trendy styles await."/>
    <n v="3689"/>
    <n v="48"/>
    <n v="306"/>
    <n v="40579"/>
    <n v="9.9632815002833983E-2"/>
    <n v="39588"/>
    <n v="212"/>
    <s v="#MyntraTrend"/>
    <x v="0"/>
  </r>
  <r>
    <s v="P104"/>
    <s v="YouTube"/>
    <s v="2025-03-23"/>
    <s v="Story"/>
    <s v="Explore the latest story on Myntra! Trendy styles await."/>
    <n v="3655"/>
    <n v="568"/>
    <n v="286"/>
    <n v="32895"/>
    <n v="0.13707250341997265"/>
    <n v="32015"/>
    <n v="199"/>
    <s v="#MyntraTrend"/>
    <x v="3"/>
  </r>
  <r>
    <s v="P105"/>
    <s v="Instagram"/>
    <s v="2024-06-14"/>
    <s v="Carousel"/>
    <s v="Explore the latest carousel on Myntra! Trendy styles await."/>
    <n v="498"/>
    <n v="38"/>
    <n v="42"/>
    <n v="4482"/>
    <n v="0.12896028558679162"/>
    <n v="3647"/>
    <n v="32"/>
    <s v="#StyleWithMyntra,#FashionDeals"/>
    <x v="3"/>
  </r>
  <r>
    <s v="P106"/>
    <s v="Instagram"/>
    <s v="2025-02-04"/>
    <s v="Image"/>
    <s v="Explore the latest image on Myntra! Trendy styles await."/>
    <n v="4619"/>
    <n v="821"/>
    <n v="499"/>
    <n v="69285"/>
    <n v="8.5718409468138843E-2"/>
    <n v="69141"/>
    <n v="298"/>
    <s v="#MyntraFashion"/>
    <x v="0"/>
  </r>
  <r>
    <s v="P107"/>
    <s v="YouTube"/>
    <s v="2024-06-21"/>
    <s v="Image"/>
    <s v="Explore the latest image on Myntra! Trendy styles await."/>
    <n v="4832"/>
    <n v="893"/>
    <n v="10"/>
    <n v="91808"/>
    <n v="6.2467323109097243E-2"/>
    <n v="91296"/>
    <n v="182"/>
    <s v="#MyntraSale,#StyleWithMyntra"/>
    <x v="2"/>
  </r>
  <r>
    <s v="P108"/>
    <s v="Twitter"/>
    <s v="2025-03-25"/>
    <s v="Video"/>
    <s v="Explore the latest video on Myntra! Trendy styles await."/>
    <n v="4050"/>
    <n v="871"/>
    <n v="347"/>
    <n v="52650"/>
    <n v="0.10005698005698006"/>
    <n v="51755"/>
    <n v="209"/>
    <s v="#StyleWithMyntra,#FashionDeals"/>
    <x v="0"/>
  </r>
  <r>
    <s v="P109"/>
    <s v="Twitter"/>
    <s v="2024-08-08"/>
    <s v="Story"/>
    <s v="Explore the latest story on Myntra! Trendy styles await."/>
    <n v="3649"/>
    <n v="215"/>
    <n v="413"/>
    <n v="25543"/>
    <n v="0.16744313510550835"/>
    <n v="24963"/>
    <n v="167"/>
    <s v="#MyntraFashion,#StyleWithMyntra"/>
    <x v="0"/>
  </r>
  <r>
    <s v="P110"/>
    <s v="Instagram"/>
    <s v="2024-07-29"/>
    <s v="Reel"/>
    <s v="Explore the latest reel on Myntra! Trendy styles await."/>
    <n v="3523"/>
    <n v="753"/>
    <n v="482"/>
    <n v="38753"/>
    <n v="0.12277759141227776"/>
    <n v="38579"/>
    <n v="270"/>
    <s v="#FashionDeals,#StyleWithMyntra"/>
    <x v="1"/>
  </r>
  <r>
    <s v="P111"/>
    <s v="YouTube"/>
    <s v="2024-11-23"/>
    <s v="Image"/>
    <s v="Explore the latest image on Myntra! Trendy styles await."/>
    <n v="2719"/>
    <n v="17"/>
    <n v="285"/>
    <n v="40785"/>
    <n v="7.4071349760941527E-2"/>
    <n v="40281"/>
    <n v="40"/>
    <s v="#MyntraFashion,#StyleWithMyntra"/>
    <x v="2"/>
  </r>
  <r>
    <s v="P112"/>
    <s v="Twitter"/>
    <s v="2024-10-05"/>
    <s v="Story"/>
    <s v="Explore the latest story on Myntra! Trendy styles await."/>
    <n v="1957"/>
    <n v="877"/>
    <n v="238"/>
    <n v="17613"/>
    <n v="0.17441662408448305"/>
    <n v="16865"/>
    <n v="297"/>
    <s v="#MyntraFashion,#MyntraSale"/>
    <x v="2"/>
  </r>
  <r>
    <s v="P113"/>
    <s v="Twitter"/>
    <s v="2024-10-02"/>
    <s v="Carousel"/>
    <s v="Explore the latest carousel on Myntra! Trendy styles await."/>
    <n v="4419"/>
    <n v="236"/>
    <n v="369"/>
    <n v="44190"/>
    <n v="0.11369088028965829"/>
    <n v="43582"/>
    <n v="10"/>
    <s v="#MyntraTrend"/>
    <x v="3"/>
  </r>
  <r>
    <s v="P114"/>
    <s v="Twitter"/>
    <s v="2024-11-14"/>
    <s v="Story"/>
    <s v="Explore the latest story on Myntra! Trendy styles await."/>
    <n v="4000"/>
    <n v="689"/>
    <n v="488"/>
    <n v="40000"/>
    <n v="0.12942500000000001"/>
    <n v="39569"/>
    <n v="44"/>
    <s v="#FashionDeals,#MyntraFashion"/>
    <x v="2"/>
  </r>
  <r>
    <s v="P115"/>
    <s v="Twitter"/>
    <s v="2025-05-11"/>
    <s v="Image"/>
    <s v="Explore the latest image on Myntra! Trendy styles await."/>
    <n v="2493"/>
    <n v="97"/>
    <n v="44"/>
    <n v="42381"/>
    <n v="6.2150491965739366E-2"/>
    <n v="41991"/>
    <n v="242"/>
    <s v="#MyntraSale,#StyleWithMyntra"/>
    <x v="0"/>
  </r>
  <r>
    <s v="P116"/>
    <s v="YouTube"/>
    <s v="2025-03-18"/>
    <s v="Reel"/>
    <s v="Explore the latest reel on Myntra! Trendy styles await."/>
    <n v="3704"/>
    <n v="186"/>
    <n v="458"/>
    <n v="25928"/>
    <n v="0.16769515581610614"/>
    <n v="25081"/>
    <n v="131"/>
    <s v="#StyleWithMyntra"/>
    <x v="0"/>
  </r>
  <r>
    <s v="P117"/>
    <s v="Twitter"/>
    <s v="2024-11-04"/>
    <s v="Image"/>
    <s v="Explore the latest image on Myntra! Trendy styles await."/>
    <n v="1606"/>
    <n v="451"/>
    <n v="405"/>
    <n v="20878"/>
    <n v="0.11792317271769326"/>
    <n v="20190"/>
    <n v="219"/>
    <s v="#MyntraSale,#StyleWithMyntra"/>
    <x v="1"/>
  </r>
  <r>
    <s v="P118"/>
    <s v="Facebook"/>
    <s v="2024-11-04"/>
    <s v="Image"/>
    <s v="Explore the latest image on Myntra! Trendy styles await."/>
    <n v="4551"/>
    <n v="714"/>
    <n v="207"/>
    <n v="68265"/>
    <n v="8.0158206987475278E-2"/>
    <n v="67754"/>
    <n v="57"/>
    <s v="#MyntraTrend"/>
    <x v="1"/>
  </r>
  <r>
    <s v="P119"/>
    <s v="Instagram"/>
    <s v="2025-02-07"/>
    <s v="Reel"/>
    <s v="Explore the latest reel on Myntra! Trendy styles await."/>
    <n v="1970"/>
    <n v="675"/>
    <n v="478"/>
    <n v="9850"/>
    <n v="0.31705583756345179"/>
    <n v="8924"/>
    <n v="117"/>
    <s v="#MyntraTrend"/>
    <x v="3"/>
  </r>
  <r>
    <s v="P120"/>
    <s v="Facebook"/>
    <s v="2024-10-21"/>
    <s v="Story"/>
    <s v="Explore the latest story on Myntra! Trendy styles await."/>
    <n v="780"/>
    <n v="928"/>
    <n v="301"/>
    <n v="8580"/>
    <n v="0.23414918414918415"/>
    <n v="8081"/>
    <n v="91"/>
    <s v="#MyntraSale,#MyntraFashion"/>
    <x v="3"/>
  </r>
  <r>
    <s v="P121"/>
    <s v="Instagram"/>
    <s v="2024-07-29"/>
    <s v="Story"/>
    <s v="Explore the latest story on Myntra! Trendy styles await."/>
    <n v="498"/>
    <n v="701"/>
    <n v="412"/>
    <n v="4980"/>
    <n v="0.32349397590361445"/>
    <n v="4185"/>
    <n v="185"/>
    <s v="#FashionDeals,#StyleWithMyntra"/>
    <x v="3"/>
  </r>
  <r>
    <s v="P122"/>
    <s v="Instagram"/>
    <s v="2024-10-02"/>
    <s v="Text"/>
    <s v="Explore the latest text on Myntra! Trendy styles await."/>
    <n v="3432"/>
    <n v="869"/>
    <n v="123"/>
    <n v="54912"/>
    <n v="8.0565268065268064E-2"/>
    <n v="53916"/>
    <n v="264"/>
    <s v="#MyntraFashion,#MyntraTrend"/>
    <x v="1"/>
  </r>
  <r>
    <s v="P123"/>
    <s v="Instagram"/>
    <s v="2024-06-14"/>
    <s v="Story"/>
    <s v="Explore the latest story on Myntra! Trendy styles await."/>
    <n v="4363"/>
    <n v="649"/>
    <n v="140"/>
    <n v="21815"/>
    <n v="0.23616777446710979"/>
    <n v="21481"/>
    <n v="157"/>
    <s v="#MyntraSale,#MyntraFashion"/>
    <x v="1"/>
  </r>
  <r>
    <s v="P124"/>
    <s v="YouTube"/>
    <s v="2025-04-06"/>
    <s v="Carousel"/>
    <s v="Explore the latest carousel on Myntra! Trendy styles await."/>
    <n v="736"/>
    <n v="771"/>
    <n v="225"/>
    <n v="5152"/>
    <n v="0.33618012422360249"/>
    <n v="4706"/>
    <n v="19"/>
    <s v="#StyleWithMyntra"/>
    <x v="2"/>
  </r>
  <r>
    <s v="P125"/>
    <s v="Twitter"/>
    <s v="2024-09-08"/>
    <s v="Carousel"/>
    <s v="Explore the latest carousel on Myntra! Trendy styles await."/>
    <n v="3811"/>
    <n v="866"/>
    <n v="216"/>
    <n v="34299"/>
    <n v="0.14265722032712325"/>
    <n v="34088"/>
    <n v="233"/>
    <s v="#StyleWithMyntra"/>
    <x v="2"/>
  </r>
  <r>
    <s v="P126"/>
    <s v="Instagram"/>
    <s v="2025-03-28"/>
    <s v="Carousel"/>
    <s v="Explore the latest carousel on Myntra! Trendy styles await."/>
    <n v="4158"/>
    <n v="167"/>
    <n v="241"/>
    <n v="45738"/>
    <n v="9.9829463465827106E-2"/>
    <n v="45183"/>
    <n v="142"/>
    <s v="#MyntraFashion"/>
    <x v="1"/>
  </r>
  <r>
    <s v="P127"/>
    <s v="Facebook"/>
    <s v="2025-01-27"/>
    <s v="Reel"/>
    <s v="Explore the latest reel on Myntra! Trendy styles await."/>
    <n v="3452"/>
    <n v="652"/>
    <n v="442"/>
    <n v="65588"/>
    <n v="6.9311459413307311E-2"/>
    <n v="65049"/>
    <n v="158"/>
    <s v="#MyntraSale,#StyleWithMyntra"/>
    <x v="0"/>
  </r>
  <r>
    <s v="P128"/>
    <s v="Twitter"/>
    <s v="2025-01-10"/>
    <s v="Image"/>
    <s v="Explore the latest image on Myntra! Trendy styles await."/>
    <n v="3092"/>
    <n v="106"/>
    <n v="291"/>
    <n v="27828"/>
    <n v="0.12537731780940059"/>
    <n v="27217"/>
    <n v="102"/>
    <s v="#StyleWithMyntra"/>
    <x v="3"/>
  </r>
  <r>
    <s v="P129"/>
    <s v="Twitter"/>
    <s v="2024-07-21"/>
    <s v="Text"/>
    <s v="Explore the latest text on Myntra! Trendy styles await."/>
    <n v="2147"/>
    <n v="430"/>
    <n v="393"/>
    <n v="17176"/>
    <n v="0.17291569632044715"/>
    <n v="16483"/>
    <n v="170"/>
    <s v="#FashionDeals"/>
    <x v="3"/>
  </r>
  <r>
    <s v="P130"/>
    <s v="YouTube"/>
    <s v="2024-09-29"/>
    <s v="Reel"/>
    <s v="Explore the latest reel on Myntra! Trendy styles await."/>
    <n v="2936"/>
    <n v="439"/>
    <n v="44"/>
    <n v="38168"/>
    <n v="8.9577656675749323E-2"/>
    <n v="37571"/>
    <n v="22"/>
    <s v="#MyntraSale"/>
    <x v="2"/>
  </r>
  <r>
    <s v="P131"/>
    <s v="Instagram"/>
    <s v="2024-10-21"/>
    <s v="Reel"/>
    <s v="Explore the latest reel on Myntra! Trendy styles await."/>
    <n v="4840"/>
    <n v="658"/>
    <n v="211"/>
    <n v="43560"/>
    <n v="0.13106060606060607"/>
    <n v="43225"/>
    <n v="57"/>
    <s v="#MyntraSale,#MyntraFashion"/>
    <x v="1"/>
  </r>
  <r>
    <s v="P132"/>
    <s v="Instagram"/>
    <s v="2025-03-04"/>
    <s v="Story"/>
    <s v="Explore the latest story on Myntra! Trendy styles await."/>
    <n v="1947"/>
    <n v="842"/>
    <n v="101"/>
    <n v="21417"/>
    <n v="0.13493953401503478"/>
    <n v="20967"/>
    <n v="186"/>
    <s v="#MyntraFashion"/>
    <x v="1"/>
  </r>
  <r>
    <s v="P133"/>
    <s v="Facebook"/>
    <s v="2025-02-06"/>
    <s v="Image"/>
    <s v="Explore the latest image on Myntra! Trendy styles await."/>
    <n v="2072"/>
    <n v="532"/>
    <n v="71"/>
    <n v="37296"/>
    <n v="7.172350922350923E-2"/>
    <n v="36467"/>
    <n v="25"/>
    <s v="#MyntraSale"/>
    <x v="2"/>
  </r>
  <r>
    <s v="P134"/>
    <s v="Twitter"/>
    <s v="2025-04-24"/>
    <s v="Reel"/>
    <s v="Explore the latest reel on Myntra! Trendy styles await."/>
    <n v="3731"/>
    <n v="115"/>
    <n v="135"/>
    <n v="55965"/>
    <n v="7.1133744304476013E-2"/>
    <n v="55436"/>
    <n v="103"/>
    <s v="#FashionDeals"/>
    <x v="3"/>
  </r>
  <r>
    <s v="P135"/>
    <s v="Facebook"/>
    <s v="2024-11-28"/>
    <s v="Text"/>
    <s v="Explore the latest text on Myntra! Trendy styles await."/>
    <n v="4213"/>
    <n v="253"/>
    <n v="434"/>
    <n v="75834"/>
    <n v="6.461481657304112E-2"/>
    <n v="75437"/>
    <n v="272"/>
    <s v="#MyntraTrend"/>
    <x v="2"/>
  </r>
  <r>
    <s v="P136"/>
    <s v="Instagram"/>
    <s v="2024-07-11"/>
    <s v="Text"/>
    <s v="Explore the latest text on Myntra! Trendy styles await."/>
    <n v="3134"/>
    <n v="888"/>
    <n v="444"/>
    <n v="21938"/>
    <n v="0.20357370772176134"/>
    <n v="21337"/>
    <n v="130"/>
    <s v="#MyntraSale,#MyntraFashion"/>
    <x v="3"/>
  </r>
  <r>
    <s v="P137"/>
    <s v="Facebook"/>
    <s v="2024-07-31"/>
    <s v="Video"/>
    <s v="Explore the latest video on Myntra! Trendy styles await."/>
    <n v="3008"/>
    <n v="94"/>
    <n v="37"/>
    <n v="15040"/>
    <n v="0.20871010638297871"/>
    <n v="14639"/>
    <n v="277"/>
    <s v="#FashionDeals"/>
    <x v="0"/>
  </r>
  <r>
    <s v="P138"/>
    <s v="Twitter"/>
    <s v="2025-03-29"/>
    <s v="Image"/>
    <s v="Explore the latest image on Myntra! Trendy styles await."/>
    <n v="305"/>
    <n v="187"/>
    <n v="243"/>
    <n v="4575"/>
    <n v="0.16065573770491803"/>
    <n v="3704"/>
    <n v="234"/>
    <s v="#MyntraFashion,#MyntraTrend"/>
    <x v="3"/>
  </r>
  <r>
    <s v="P139"/>
    <s v="YouTube"/>
    <s v="2024-10-29"/>
    <s v="Text"/>
    <s v="Explore the latest text on Myntra! Trendy styles await."/>
    <n v="2746"/>
    <n v="156"/>
    <n v="203"/>
    <n v="32952"/>
    <n v="9.422796795338674E-2"/>
    <n v="32147"/>
    <n v="147"/>
    <s v="#MyntraFashion,#StyleWithMyntra"/>
    <x v="1"/>
  </r>
  <r>
    <s v="P140"/>
    <s v="Facebook"/>
    <s v="2024-07-15"/>
    <s v="Image"/>
    <s v="Explore the latest image on Myntra! Trendy styles await."/>
    <n v="2291"/>
    <n v="78"/>
    <n v="485"/>
    <n v="18328"/>
    <n v="0.15571802706241816"/>
    <n v="18101"/>
    <n v="10"/>
    <s v="#FashionDeals"/>
    <x v="0"/>
  </r>
  <r>
    <s v="P141"/>
    <s v="Twitter"/>
    <s v="2024-08-31"/>
    <s v="Image"/>
    <s v="Explore the latest image on Myntra! Trendy styles await."/>
    <n v="3170"/>
    <n v="857"/>
    <n v="379"/>
    <n v="19020"/>
    <n v="0.2316508937960042"/>
    <n v="18559"/>
    <n v="240"/>
    <s v="#MyntraSale"/>
    <x v="2"/>
  </r>
  <r>
    <s v="P142"/>
    <s v="YouTube"/>
    <s v="2025-03-25"/>
    <s v="Story"/>
    <s v="Explore the latest story on Myntra! Trendy styles await."/>
    <n v="2070"/>
    <n v="275"/>
    <n v="386"/>
    <n v="39330"/>
    <n v="6.9438087973557078E-2"/>
    <n v="38627"/>
    <n v="114"/>
    <s v="#MyntraSale"/>
    <x v="3"/>
  </r>
  <r>
    <s v="P143"/>
    <s v="YouTube"/>
    <s v="2024-10-02"/>
    <s v="Carousel"/>
    <s v="Explore the latest carousel on Myntra! Trendy styles await."/>
    <n v="80"/>
    <n v="362"/>
    <n v="80"/>
    <n v="1040"/>
    <n v="0.50192307692307692"/>
    <n v="349"/>
    <n v="117"/>
    <s v="#MyntraFashion,#StyleWithMyntra"/>
    <x v="1"/>
  </r>
  <r>
    <s v="P144"/>
    <s v="YouTube"/>
    <s v="2024-10-28"/>
    <s v="Story"/>
    <s v="Explore the latest story on Myntra! Trendy styles await."/>
    <n v="4929"/>
    <n v="749"/>
    <n v="452"/>
    <n v="93651"/>
    <n v="6.5455787978772245E-2"/>
    <n v="92810"/>
    <n v="66"/>
    <s v="#MyntraTrend,#StyleWithMyntra"/>
    <x v="0"/>
  </r>
  <r>
    <s v="P145"/>
    <s v="Instagram"/>
    <s v="2024-08-12"/>
    <s v="Carousel"/>
    <s v="Explore the latest carousel on Myntra! Trendy styles await."/>
    <n v="1878"/>
    <n v="62"/>
    <n v="179"/>
    <n v="37560"/>
    <n v="5.6416400425985093E-2"/>
    <n v="36874"/>
    <n v="142"/>
    <s v="#FashionDeals,#MyntraTrend"/>
    <x v="0"/>
  </r>
  <r>
    <s v="P146"/>
    <s v="YouTube"/>
    <s v="2024-06-05"/>
    <s v="Reel"/>
    <s v="Explore the latest reel on Myntra! Trendy styles await."/>
    <n v="3065"/>
    <n v="772"/>
    <n v="142"/>
    <n v="18390"/>
    <n v="0.21636759108210984"/>
    <n v="17875"/>
    <n v="200"/>
    <s v="#StyleWithMyntra"/>
    <x v="0"/>
  </r>
  <r>
    <s v="P147"/>
    <s v="Instagram"/>
    <s v="2024-10-21"/>
    <s v="Reel"/>
    <s v="Explore the latest reel on Myntra! Trendy styles await."/>
    <n v="3256"/>
    <n v="459"/>
    <n v="266"/>
    <n v="26048"/>
    <n v="0.15283323095823095"/>
    <n v="25529"/>
    <n v="143"/>
    <s v="#MyntraSale,#StyleWithMyntra"/>
    <x v="2"/>
  </r>
  <r>
    <s v="P148"/>
    <s v="Instagram"/>
    <s v="2025-04-15"/>
    <s v="Video"/>
    <s v="Explore the latest video on Myntra! Trendy styles await."/>
    <n v="4133"/>
    <n v="466"/>
    <n v="327"/>
    <n v="24798"/>
    <n v="0.19864505202032423"/>
    <n v="24620"/>
    <n v="176"/>
    <s v="#StyleWithMyntra"/>
    <x v="1"/>
  </r>
  <r>
    <s v="P149"/>
    <s v="Twitter"/>
    <s v="2024-06-16"/>
    <s v="Video"/>
    <s v="Explore the latest video on Myntra! Trendy styles await."/>
    <n v="1702"/>
    <n v="750"/>
    <n v="179"/>
    <n v="34040"/>
    <n v="7.7291421856639245E-2"/>
    <n v="33174"/>
    <n v="76"/>
    <s v="#MyntraTrend"/>
    <x v="2"/>
  </r>
  <r>
    <s v="P150"/>
    <s v="YouTube"/>
    <s v="2024-08-22"/>
    <s v="Carousel"/>
    <s v="Explore the latest carousel on Myntra! Trendy styles await."/>
    <n v="4295"/>
    <n v="853"/>
    <n v="325"/>
    <n v="85900"/>
    <n v="6.3713620488940623E-2"/>
    <n v="85788"/>
    <n v="290"/>
    <s v="#MyntraTrend,#MyntraSale"/>
    <x v="1"/>
  </r>
  <r>
    <s v="P151"/>
    <s v="Instagram"/>
    <s v="2024-07-26"/>
    <s v="Image"/>
    <s v="Explore the latest image on Myntra! Trendy styles await."/>
    <n v="3559"/>
    <n v="59"/>
    <n v="289"/>
    <n v="35590"/>
    <n v="0.10977802753582468"/>
    <n v="35105"/>
    <n v="122"/>
    <s v="#MyntraTrend,#StyleWithMyntra"/>
    <x v="2"/>
  </r>
  <r>
    <s v="P152"/>
    <s v="Facebook"/>
    <s v="2025-04-22"/>
    <s v="Image"/>
    <s v="Explore the latest image on Myntra! Trendy styles await."/>
    <n v="4804"/>
    <n v="550"/>
    <n v="270"/>
    <n v="28824"/>
    <n v="0.19511518179295032"/>
    <n v="28370"/>
    <n v="47"/>
    <s v="#MyntraSale,#StyleWithMyntra"/>
    <x v="3"/>
  </r>
  <r>
    <s v="P153"/>
    <s v="Twitter"/>
    <s v="2025-01-01"/>
    <s v="Video"/>
    <s v="Explore the latest video on Myntra! Trendy styles await."/>
    <n v="754"/>
    <n v="197"/>
    <n v="257"/>
    <n v="6786"/>
    <n v="0.17801355732390214"/>
    <n v="6221"/>
    <n v="212"/>
    <s v="#FashionDeals,#MyntraTrend"/>
    <x v="2"/>
  </r>
  <r>
    <s v="P154"/>
    <s v="Instagram"/>
    <s v="2024-10-09"/>
    <s v="Carousel"/>
    <s v="Explore the latest carousel on Myntra! Trendy styles await."/>
    <n v="985"/>
    <n v="932"/>
    <n v="287"/>
    <n v="6895"/>
    <n v="0.31965192168237855"/>
    <n v="6757"/>
    <n v="64"/>
    <s v="#MyntraSale,#MyntraFashion"/>
    <x v="1"/>
  </r>
  <r>
    <s v="P155"/>
    <s v="YouTube"/>
    <s v="2024-12-21"/>
    <s v="Image"/>
    <s v="Explore the latest image on Myntra! Trendy styles await."/>
    <n v="2283"/>
    <n v="210"/>
    <n v="130"/>
    <n v="22830"/>
    <n v="0.11489268506351293"/>
    <n v="22617"/>
    <n v="143"/>
    <s v="#MyntraFashion,#StyleWithMyntra"/>
    <x v="2"/>
  </r>
  <r>
    <s v="P156"/>
    <s v="Facebook"/>
    <s v="2024-10-22"/>
    <s v="Carousel"/>
    <s v="Explore the latest carousel on Myntra! Trendy styles await."/>
    <n v="3352"/>
    <n v="941"/>
    <n v="482"/>
    <n v="43576"/>
    <n v="0.1095786671562328"/>
    <n v="43338"/>
    <n v="240"/>
    <s v="#MyntraTrend"/>
    <x v="2"/>
  </r>
  <r>
    <s v="P157"/>
    <s v="YouTube"/>
    <s v="2024-07-23"/>
    <s v="Story"/>
    <s v="Explore the latest story on Myntra! Trendy styles await."/>
    <n v="4775"/>
    <n v="173"/>
    <n v="206"/>
    <n v="47750"/>
    <n v="0.10793717277486911"/>
    <n v="47544"/>
    <n v="187"/>
    <s v="#StyleWithMyntra,#MyntraTrend"/>
    <x v="3"/>
  </r>
  <r>
    <s v="P158"/>
    <s v="Instagram"/>
    <s v="2024-08-11"/>
    <s v="Story"/>
    <s v="Explore the latest story on Myntra! Trendy styles await."/>
    <n v="1762"/>
    <n v="405"/>
    <n v="423"/>
    <n v="22906"/>
    <n v="0.11307081114118571"/>
    <n v="21925"/>
    <n v="25"/>
    <s v="#FashionDeals"/>
    <x v="1"/>
  </r>
  <r>
    <s v="P159"/>
    <s v="Facebook"/>
    <s v="2024-11-25"/>
    <s v="Story"/>
    <s v="Explore the latest story on Myntra! Trendy styles await."/>
    <n v="2120"/>
    <n v="158"/>
    <n v="488"/>
    <n v="12720"/>
    <n v="0.21745283018867925"/>
    <n v="12085"/>
    <n v="17"/>
    <s v="#StyleWithMyntra,#MyntraTrend"/>
    <x v="1"/>
  </r>
  <r>
    <s v="P160"/>
    <s v="Twitter"/>
    <s v="2024-08-24"/>
    <s v="Video"/>
    <s v="Explore the latest video on Myntra! Trendy styles await."/>
    <n v="1082"/>
    <n v="209"/>
    <n v="484"/>
    <n v="19476"/>
    <n v="9.1137810638734856E-2"/>
    <n v="18654"/>
    <n v="20"/>
    <s v="#StyleWithMyntra"/>
    <x v="3"/>
  </r>
  <r>
    <s v="P161"/>
    <s v="Twitter"/>
    <s v="2025-02-19"/>
    <s v="Text"/>
    <s v="Explore the latest text on Myntra! Trendy styles await."/>
    <n v="4671"/>
    <n v="876"/>
    <n v="366"/>
    <n v="51381"/>
    <n v="0.11508145034156594"/>
    <n v="50565"/>
    <n v="245"/>
    <s v="#MyntraSale"/>
    <x v="1"/>
  </r>
  <r>
    <s v="P162"/>
    <s v="Facebook"/>
    <s v="2025-04-01"/>
    <s v="Story"/>
    <s v="Explore the latest story on Myntra! Trendy styles await."/>
    <n v="3430"/>
    <n v="566"/>
    <n v="164"/>
    <n v="48020"/>
    <n v="8.6630570595585168E-2"/>
    <n v="47305"/>
    <n v="120"/>
    <s v="#MyntraTrend"/>
    <x v="1"/>
  </r>
  <r>
    <s v="P163"/>
    <s v="Instagram"/>
    <s v="2025-04-08"/>
    <s v="Image"/>
    <s v="Explore the latest image on Myntra! Trendy styles await."/>
    <n v="4501"/>
    <n v="375"/>
    <n v="323"/>
    <n v="22505"/>
    <n v="0.23101532992668297"/>
    <n v="21836"/>
    <n v="132"/>
    <s v="#MyntraFashion"/>
    <x v="3"/>
  </r>
  <r>
    <s v="P164"/>
    <s v="YouTube"/>
    <s v="2025-02-27"/>
    <s v="Text"/>
    <s v="Explore the latest text on Myntra! Trendy styles await."/>
    <n v="4934"/>
    <n v="971"/>
    <n v="156"/>
    <n v="39472"/>
    <n v="0.15355188488042157"/>
    <n v="39025"/>
    <n v="169"/>
    <s v="#FashionDeals,#StyleWithMyntra"/>
    <x v="1"/>
  </r>
  <r>
    <s v="P165"/>
    <s v="Twitter"/>
    <s v="2024-12-11"/>
    <s v="Text"/>
    <s v="Explore the latest text on Myntra! Trendy styles await."/>
    <n v="3239"/>
    <n v="43"/>
    <n v="211"/>
    <n v="22673"/>
    <n v="0.15405989502933004"/>
    <n v="22171"/>
    <n v="230"/>
    <s v="#MyntraTrend,#StyleWithMyntra"/>
    <x v="1"/>
  </r>
  <r>
    <s v="P166"/>
    <s v="Twitter"/>
    <s v="2025-02-16"/>
    <s v="Reel"/>
    <s v="Explore the latest reel on Myntra! Trendy styles await."/>
    <n v="1076"/>
    <n v="313"/>
    <n v="306"/>
    <n v="11836"/>
    <n v="0.14320716458262928"/>
    <n v="11596"/>
    <n v="104"/>
    <s v="#FashionDeals"/>
    <x v="1"/>
  </r>
  <r>
    <s v="P167"/>
    <s v="Instagram"/>
    <s v="2024-11-28"/>
    <s v="Text"/>
    <s v="Explore the latest text on Myntra! Trendy styles await."/>
    <n v="4771"/>
    <n v="818"/>
    <n v="56"/>
    <n v="57252"/>
    <n v="9.859917557465242E-2"/>
    <n v="56378"/>
    <n v="150"/>
    <s v="#MyntraSale"/>
    <x v="1"/>
  </r>
  <r>
    <s v="P168"/>
    <s v="Facebook"/>
    <s v="2024-11-12"/>
    <s v="Text"/>
    <s v="Explore the latest text on Myntra! Trendy styles await."/>
    <n v="2418"/>
    <n v="754"/>
    <n v="54"/>
    <n v="43524"/>
    <n v="7.412002573292896E-2"/>
    <n v="42743"/>
    <n v="182"/>
    <s v="#MyntraFashion,#MyntraTrend"/>
    <x v="3"/>
  </r>
  <r>
    <s v="P169"/>
    <s v="YouTube"/>
    <s v="2024-12-03"/>
    <s v="Video"/>
    <s v="Explore the latest video on Myntra! Trendy styles await."/>
    <n v="3809"/>
    <n v="273"/>
    <n v="200"/>
    <n v="34281"/>
    <n v="0.12490884163239112"/>
    <n v="33534"/>
    <n v="83"/>
    <s v="#MyntraTrend"/>
    <x v="2"/>
  </r>
  <r>
    <s v="P170"/>
    <s v="Twitter"/>
    <s v="2025-04-28"/>
    <s v="Text"/>
    <s v="Explore the latest text on Myntra! Trendy styles await."/>
    <n v="3577"/>
    <n v="596"/>
    <n v="493"/>
    <n v="67963"/>
    <n v="6.8655003457763777E-2"/>
    <n v="67839"/>
    <n v="53"/>
    <s v="#StyleWithMyntra,#MyntraTrend"/>
    <x v="3"/>
  </r>
  <r>
    <s v="P171"/>
    <s v="YouTube"/>
    <s v="2024-12-31"/>
    <s v="Video"/>
    <s v="Explore the latest video on Myntra! Trendy styles await."/>
    <n v="1018"/>
    <n v="447"/>
    <n v="332"/>
    <n v="18324"/>
    <n v="9.8068107400130972E-2"/>
    <n v="18164"/>
    <n v="38"/>
    <s v="#MyntraSale,#MyntraFashion"/>
    <x v="3"/>
  </r>
  <r>
    <s v="P172"/>
    <s v="Facebook"/>
    <s v="2024-08-14"/>
    <s v="Carousel"/>
    <s v="Explore the latest carousel on Myntra! Trendy styles await."/>
    <n v="3073"/>
    <n v="553"/>
    <n v="174"/>
    <n v="52241"/>
    <n v="7.2739802071170159E-2"/>
    <n v="51605"/>
    <n v="246"/>
    <s v="#MyntraFashion,#StyleWithMyntra"/>
    <x v="3"/>
  </r>
  <r>
    <s v="P173"/>
    <s v="Twitter"/>
    <s v="2024-12-05"/>
    <s v="Video"/>
    <s v="Explore the latest video on Myntra! Trendy styles await."/>
    <n v="1330"/>
    <n v="925"/>
    <n v="35"/>
    <n v="15960"/>
    <n v="0.14348370927318296"/>
    <n v="15379"/>
    <n v="229"/>
    <s v="#FashionDeals,#MyntraTrend"/>
    <x v="3"/>
  </r>
  <r>
    <s v="P174"/>
    <s v="Facebook"/>
    <s v="2024-06-22"/>
    <s v="Text"/>
    <s v="Explore the latest text on Myntra! Trendy styles await."/>
    <n v="3828"/>
    <n v="148"/>
    <n v="253"/>
    <n v="30624"/>
    <n v="0.13809430512016718"/>
    <n v="30229"/>
    <n v="235"/>
    <s v="#MyntraSale,#StyleWithMyntra"/>
    <x v="3"/>
  </r>
  <r>
    <s v="P175"/>
    <s v="Instagram"/>
    <s v="2025-01-17"/>
    <s v="Reel"/>
    <s v="Explore the latest reel on Myntra! Trendy styles await."/>
    <n v="142"/>
    <n v="784"/>
    <n v="183"/>
    <n v="1704"/>
    <n v="0.6508215962441315"/>
    <n v="995"/>
    <n v="154"/>
    <s v="#MyntraSale"/>
    <x v="0"/>
  </r>
  <r>
    <s v="P176"/>
    <s v="Facebook"/>
    <s v="2024-06-20"/>
    <s v="Video"/>
    <s v="Explore the latest video on Myntra! Trendy styles await."/>
    <n v="3798"/>
    <n v="31"/>
    <n v="279"/>
    <n v="75960"/>
    <n v="5.4081095313322801E-2"/>
    <n v="75813"/>
    <n v="266"/>
    <s v="#MyntraFashion"/>
    <x v="1"/>
  </r>
  <r>
    <s v="P177"/>
    <s v="Instagram"/>
    <s v="2024-07-10"/>
    <s v="Carousel"/>
    <s v="Explore the latest carousel on Myntra! Trendy styles await."/>
    <n v="3099"/>
    <n v="694"/>
    <n v="171"/>
    <n v="43386"/>
    <n v="9.1365878393951966E-2"/>
    <n v="42921"/>
    <n v="52"/>
    <s v="#FashionDeals"/>
    <x v="3"/>
  </r>
  <r>
    <s v="P178"/>
    <s v="Instagram"/>
    <s v="2024-11-07"/>
    <s v="Video"/>
    <s v="Explore the latest video on Myntra! Trendy styles await."/>
    <n v="129"/>
    <n v="643"/>
    <n v="136"/>
    <n v="1290"/>
    <n v="0.70387596899224802"/>
    <n v="839"/>
    <n v="238"/>
    <s v="#StyleWithMyntra,#FashionDeals"/>
    <x v="3"/>
  </r>
  <r>
    <s v="P179"/>
    <s v="Facebook"/>
    <s v="2024-07-15"/>
    <s v="Carousel"/>
    <s v="Explore the latest carousel on Myntra! Trendy styles await."/>
    <n v="3796"/>
    <n v="667"/>
    <n v="395"/>
    <n v="64532"/>
    <n v="7.5280481001673588E-2"/>
    <n v="63550"/>
    <n v="292"/>
    <s v="#StyleWithMyntra"/>
    <x v="0"/>
  </r>
  <r>
    <s v="P180"/>
    <s v="YouTube"/>
    <s v="2024-12-03"/>
    <s v="Text"/>
    <s v="Explore the latest text on Myntra! Trendy styles await."/>
    <n v="3711"/>
    <n v="352"/>
    <n v="290"/>
    <n v="48243"/>
    <n v="9.023070704558174E-2"/>
    <n v="47579"/>
    <n v="11"/>
    <s v="#StyleWithMyntra,#FashionDeals"/>
    <x v="3"/>
  </r>
  <r>
    <s v="P181"/>
    <s v="YouTube"/>
    <s v="2025-03-21"/>
    <s v="Image"/>
    <s v="Explore the latest image on Myntra! Trendy styles await."/>
    <n v="606"/>
    <n v="789"/>
    <n v="470"/>
    <n v="7878"/>
    <n v="0.23673521198273673"/>
    <n v="7389"/>
    <n v="239"/>
    <s v="#MyntraSale"/>
    <x v="1"/>
  </r>
  <r>
    <s v="P182"/>
    <s v="Facebook"/>
    <s v="2024-07-31"/>
    <s v="Image"/>
    <s v="Explore the latest image on Myntra! Trendy styles await."/>
    <n v="4689"/>
    <n v="134"/>
    <n v="403"/>
    <n v="51579"/>
    <n v="0.10132030477519921"/>
    <n v="50924"/>
    <n v="173"/>
    <s v="#FashionDeals"/>
    <x v="0"/>
  </r>
  <r>
    <s v="P183"/>
    <s v="Instagram"/>
    <s v="2024-12-17"/>
    <s v="Story"/>
    <s v="Explore the latest story on Myntra! Trendy styles await."/>
    <n v="360"/>
    <n v="590"/>
    <n v="393"/>
    <n v="4680"/>
    <n v="0.28696581196581195"/>
    <n v="4322"/>
    <n v="208"/>
    <s v="#StyleWithMyntra,#FashionDeals"/>
    <x v="1"/>
  </r>
  <r>
    <s v="P184"/>
    <s v="Twitter"/>
    <s v="2024-07-28"/>
    <s v="Image"/>
    <s v="Explore the latest image on Myntra! Trendy styles await."/>
    <n v="3215"/>
    <n v="960"/>
    <n v="202"/>
    <n v="32150"/>
    <n v="0.13614307931570763"/>
    <n v="31404"/>
    <n v="251"/>
    <s v="#StyleWithMyntra"/>
    <x v="2"/>
  </r>
  <r>
    <s v="P185"/>
    <s v="Instagram"/>
    <s v="2025-01-11"/>
    <s v="Carousel"/>
    <s v="Explore the latest carousel on Myntra! Trendy styles await."/>
    <n v="4523"/>
    <n v="61"/>
    <n v="157"/>
    <n v="49753"/>
    <n v="9.5290736237010829E-2"/>
    <n v="49329"/>
    <n v="71"/>
    <s v="#MyntraSale,#MyntraTrend"/>
    <x v="3"/>
  </r>
  <r>
    <s v="P186"/>
    <s v="Facebook"/>
    <s v="2024-08-24"/>
    <s v="Carousel"/>
    <s v="Explore the latest carousel on Myntra! Trendy styles await."/>
    <n v="4292"/>
    <n v="51"/>
    <n v="392"/>
    <n v="55796"/>
    <n v="8.4862714173059003E-2"/>
    <n v="54826"/>
    <n v="264"/>
    <s v="#MyntraTrend,#StyleWithMyntra"/>
    <x v="0"/>
  </r>
  <r>
    <s v="P187"/>
    <s v="Twitter"/>
    <s v="2024-12-22"/>
    <s v="Reel"/>
    <s v="Explore the latest reel on Myntra! Trendy styles await."/>
    <n v="1644"/>
    <n v="546"/>
    <n v="150"/>
    <n v="27948"/>
    <n v="8.3726921425504502E-2"/>
    <n v="27184"/>
    <n v="300"/>
    <s v="#MyntraSale,#MyntraTrend"/>
    <x v="0"/>
  </r>
  <r>
    <s v="P188"/>
    <s v="YouTube"/>
    <s v="2024-06-06"/>
    <s v="Reel"/>
    <s v="Explore the latest reel on Myntra! Trendy styles await."/>
    <n v="2728"/>
    <n v="533"/>
    <n v="215"/>
    <n v="40920"/>
    <n v="8.4946236559139784E-2"/>
    <n v="40816"/>
    <n v="137"/>
    <s v="#MyntraSale"/>
    <x v="1"/>
  </r>
  <r>
    <s v="P189"/>
    <s v="Facebook"/>
    <s v="2025-03-24"/>
    <s v="Reel"/>
    <s v="Explore the latest reel on Myntra! Trendy styles await."/>
    <n v="3360"/>
    <n v="525"/>
    <n v="500"/>
    <n v="60480"/>
    <n v="7.2503306878306875E-2"/>
    <n v="59610"/>
    <n v="192"/>
    <s v="#MyntraSale,#StyleWithMyntra"/>
    <x v="0"/>
  </r>
  <r>
    <s v="P190"/>
    <s v="YouTube"/>
    <s v="2024-10-04"/>
    <s v="Text"/>
    <s v="Explore the latest text on Myntra! Trendy styles await."/>
    <n v="1963"/>
    <n v="213"/>
    <n v="19"/>
    <n v="39260"/>
    <n v="5.5909322465613857E-2"/>
    <n v="38771"/>
    <n v="145"/>
    <s v="#StyleWithMyntra"/>
    <x v="0"/>
  </r>
  <r>
    <s v="P191"/>
    <s v="YouTube"/>
    <s v="2024-12-03"/>
    <s v="Story"/>
    <s v="Explore the latest story on Myntra! Trendy styles await."/>
    <n v="4285"/>
    <n v="886"/>
    <n v="376"/>
    <n v="55705"/>
    <n v="9.9578134817341346E-2"/>
    <n v="55556"/>
    <n v="51"/>
    <s v="#MyntraFashion,#FashionDeals"/>
    <x v="3"/>
  </r>
  <r>
    <s v="P192"/>
    <s v="Instagram"/>
    <s v="2024-11-29"/>
    <s v="Video"/>
    <s v="Explore the latest video on Myntra! Trendy styles await."/>
    <n v="1176"/>
    <n v="464"/>
    <n v="394"/>
    <n v="14112"/>
    <n v="0.1441326530612245"/>
    <n v="13588"/>
    <n v="272"/>
    <s v="#FashionDeals"/>
    <x v="0"/>
  </r>
  <r>
    <s v="P193"/>
    <s v="Twitter"/>
    <s v="2024-09-11"/>
    <s v="Image"/>
    <s v="Explore the latest image on Myntra! Trendy styles await."/>
    <n v="4858"/>
    <n v="317"/>
    <n v="129"/>
    <n v="53438"/>
    <n v="9.9255211647142488E-2"/>
    <n v="52687"/>
    <n v="223"/>
    <s v="#FashionDeals,#MyntraTrend"/>
    <x v="0"/>
  </r>
  <r>
    <s v="P194"/>
    <s v="YouTube"/>
    <s v="2024-10-02"/>
    <s v="Story"/>
    <s v="Explore the latest story on Myntra! Trendy styles await."/>
    <n v="4350"/>
    <n v="771"/>
    <n v="7"/>
    <n v="60900"/>
    <n v="8.4203612479474554E-2"/>
    <n v="60592"/>
    <n v="195"/>
    <s v="#FashionDeals,#StyleWithMyntra"/>
    <x v="1"/>
  </r>
  <r>
    <s v="P195"/>
    <s v="Instagram"/>
    <s v="2024-08-15"/>
    <s v="Carousel"/>
    <s v="Explore the latest carousel on Myntra! Trendy styles await."/>
    <n v="914"/>
    <n v="464"/>
    <n v="246"/>
    <n v="11882"/>
    <n v="0.13667732704931829"/>
    <n v="11500"/>
    <n v="282"/>
    <s v="#MyntraFashion,#MyntraTrend"/>
    <x v="2"/>
  </r>
  <r>
    <s v="P196"/>
    <s v="Instagram"/>
    <s v="2024-12-19"/>
    <s v="Text"/>
    <s v="Explore the latest text on Myntra! Trendy styles await."/>
    <n v="1813"/>
    <n v="623"/>
    <n v="72"/>
    <n v="19943"/>
    <n v="0.12575841147269717"/>
    <n v="18959"/>
    <n v="85"/>
    <s v="#MyntraTrend,#MyntraFashion"/>
    <x v="2"/>
  </r>
  <r>
    <s v="P197"/>
    <s v="Twitter"/>
    <s v="2024-10-22"/>
    <s v="Reel"/>
    <s v="Explore the latest reel on Myntra! Trendy styles await."/>
    <n v="4782"/>
    <n v="721"/>
    <n v="82"/>
    <n v="86076"/>
    <n v="6.4884520656164318E-2"/>
    <n v="85339"/>
    <n v="19"/>
    <s v="#FashionDeals"/>
    <x v="1"/>
  </r>
  <r>
    <s v="P198"/>
    <s v="Twitter"/>
    <s v="2024-09-14"/>
    <s v="Image"/>
    <s v="Explore the latest image on Myntra! Trendy styles await."/>
    <n v="1048"/>
    <n v="374"/>
    <n v="450"/>
    <n v="9432"/>
    <n v="0.19847328244274809"/>
    <n v="8882"/>
    <n v="158"/>
    <s v="#MyntraTrend,#MyntraSale"/>
    <x v="1"/>
  </r>
  <r>
    <s v="P199"/>
    <s v="YouTube"/>
    <s v="2024-11-30"/>
    <s v="Carousel"/>
    <s v="Explore the latest carousel on Myntra! Trendy styles await."/>
    <n v="2509"/>
    <n v="324"/>
    <n v="171"/>
    <n v="35126"/>
    <n v="8.5520696919660646E-2"/>
    <n v="34685"/>
    <n v="277"/>
    <s v="#FashionDeals"/>
    <x v="1"/>
  </r>
  <r>
    <s v="P200"/>
    <s v="Facebook"/>
    <s v="2025-04-07"/>
    <s v="Reel"/>
    <s v="Explore the latest reel on Myntra! Trendy styles await."/>
    <n v="3718"/>
    <n v="385"/>
    <n v="310"/>
    <n v="70642"/>
    <n v="6.246991874522239E-2"/>
    <n v="69749"/>
    <n v="233"/>
    <s v="#MyntraTrend"/>
    <x v="0"/>
  </r>
  <r>
    <s v="P201"/>
    <s v="Twitter"/>
    <s v="2025-01-15"/>
    <s v="Reel"/>
    <s v="Explore the latest reel on Myntra! Trendy styles await."/>
    <n v="802"/>
    <n v="262"/>
    <n v="244"/>
    <n v="14436"/>
    <n v="9.0606816292601824E-2"/>
    <n v="14280"/>
    <n v="49"/>
    <s v="#MyntraSale,#FashionDeals"/>
    <x v="3"/>
  </r>
  <r>
    <s v="P202"/>
    <s v="Facebook"/>
    <s v="2024-06-02"/>
    <s v="Image"/>
    <s v="Explore the latest image on Myntra! Trendy styles await."/>
    <n v="1871"/>
    <n v="252"/>
    <n v="335"/>
    <n v="29936"/>
    <n v="8.2108498129342594E-2"/>
    <n v="29576"/>
    <n v="288"/>
    <s v="#MyntraTrend"/>
    <x v="1"/>
  </r>
  <r>
    <s v="P203"/>
    <s v="Instagram"/>
    <s v="2024-11-21"/>
    <s v="Carousel"/>
    <s v="Explore the latest carousel on Myntra! Trendy styles await."/>
    <n v="3773"/>
    <n v="299"/>
    <n v="38"/>
    <n v="71687"/>
    <n v="5.7332570758993957E-2"/>
    <n v="71447"/>
    <n v="286"/>
    <s v="#MyntraTrend"/>
    <x v="3"/>
  </r>
  <r>
    <s v="P204"/>
    <s v="Instagram"/>
    <s v="2025-01-01"/>
    <s v="Carousel"/>
    <s v="Explore the latest carousel on Myntra! Trendy styles await."/>
    <n v="2234"/>
    <n v="653"/>
    <n v="432"/>
    <n v="11170"/>
    <n v="0.29713518352730528"/>
    <n v="10569"/>
    <n v="198"/>
    <s v="#FashionDeals,#StyleWithMyntra"/>
    <x v="3"/>
  </r>
  <r>
    <s v="P205"/>
    <s v="Twitter"/>
    <s v="2025-04-24"/>
    <s v="Video"/>
    <s v="Explore the latest video on Myntra! Trendy styles await."/>
    <n v="3820"/>
    <n v="697"/>
    <n v="268"/>
    <n v="45840"/>
    <n v="0.1043848167539267"/>
    <n v="45631"/>
    <n v="171"/>
    <s v="#StyleWithMyntra,#FashionDeals"/>
    <x v="0"/>
  </r>
  <r>
    <s v="P206"/>
    <s v="Twitter"/>
    <s v="2024-06-24"/>
    <s v="Text"/>
    <s v="Explore the latest text on Myntra! Trendy styles await."/>
    <n v="941"/>
    <n v="121"/>
    <n v="458"/>
    <n v="14115"/>
    <n v="0.10768685795253277"/>
    <n v="13838"/>
    <n v="87"/>
    <s v="#MyntraFashion,#MyntraSale"/>
    <x v="1"/>
  </r>
  <r>
    <s v="P207"/>
    <s v="Twitter"/>
    <s v="2024-12-29"/>
    <s v="Carousel"/>
    <s v="Explore the latest carousel on Myntra! Trendy styles await."/>
    <n v="4274"/>
    <n v="340"/>
    <n v="281"/>
    <n v="34192"/>
    <n v="0.14316214319138981"/>
    <n v="33446"/>
    <n v="129"/>
    <s v="#StyleWithMyntra,#FashionDeals"/>
    <x v="2"/>
  </r>
  <r>
    <s v="P208"/>
    <s v="YouTube"/>
    <s v="2024-06-24"/>
    <s v="Video"/>
    <s v="Explore the latest video on Myntra! Trendy styles await."/>
    <n v="2949"/>
    <n v="476"/>
    <n v="403"/>
    <n v="44235"/>
    <n v="8.6537809426924378E-2"/>
    <n v="43705"/>
    <n v="135"/>
    <s v="#MyntraTrend,#FashionDeals"/>
    <x v="0"/>
  </r>
  <r>
    <s v="P209"/>
    <s v="Twitter"/>
    <s v="2025-03-19"/>
    <s v="Video"/>
    <s v="Explore the latest video on Myntra! Trendy styles await."/>
    <n v="3160"/>
    <n v="204"/>
    <n v="297"/>
    <n v="44240"/>
    <n v="8.2753164556962022E-2"/>
    <n v="43666"/>
    <n v="49"/>
    <s v="#StyleWithMyntra,#MyntraTrend"/>
    <x v="0"/>
  </r>
  <r>
    <s v="P210"/>
    <s v="YouTube"/>
    <s v="2025-02-19"/>
    <s v="Image"/>
    <s v="Explore the latest image on Myntra! Trendy styles await."/>
    <n v="257"/>
    <n v="966"/>
    <n v="398"/>
    <n v="3341"/>
    <n v="0.48518407662376534"/>
    <n v="2753"/>
    <n v="287"/>
    <s v="#MyntraTrend,#MyntraSale"/>
    <x v="0"/>
  </r>
  <r>
    <s v="P211"/>
    <s v="Twitter"/>
    <s v="2024-07-18"/>
    <s v="Carousel"/>
    <s v="Explore the latest carousel on Myntra! Trendy styles await."/>
    <n v="2120"/>
    <n v="38"/>
    <n v="212"/>
    <n v="12720"/>
    <n v="0.18632075471698112"/>
    <n v="12564"/>
    <n v="21"/>
    <s v="#MyntraTrend,#MyntraSale"/>
    <x v="0"/>
  </r>
  <r>
    <s v="P212"/>
    <s v="YouTube"/>
    <s v="2025-03-03"/>
    <s v="Video"/>
    <s v="Explore the latest video on Myntra! Trendy styles await."/>
    <n v="3874"/>
    <n v="884"/>
    <n v="19"/>
    <n v="38740"/>
    <n v="0.123309241094476"/>
    <n v="38552"/>
    <n v="219"/>
    <s v="#StyleWithMyntra"/>
    <x v="3"/>
  </r>
  <r>
    <s v="P213"/>
    <s v="Facebook"/>
    <s v="2025-05-01"/>
    <s v="Carousel"/>
    <s v="Explore the latest carousel on Myntra! Trendy styles await."/>
    <n v="2696"/>
    <n v="628"/>
    <n v="443"/>
    <n v="45832"/>
    <n v="8.21914819340199E-2"/>
    <n v="45632"/>
    <n v="248"/>
    <s v="#MyntraSale"/>
    <x v="2"/>
  </r>
  <r>
    <s v="P214"/>
    <s v="Instagram"/>
    <s v="2024-12-23"/>
    <s v="Image"/>
    <s v="Explore the latest image on Myntra! Trendy styles await."/>
    <n v="521"/>
    <n v="746"/>
    <n v="315"/>
    <n v="4168"/>
    <n v="0.37955854126679461"/>
    <n v="3399"/>
    <n v="282"/>
    <s v="#MyntraSale"/>
    <x v="0"/>
  </r>
  <r>
    <s v="P215"/>
    <s v="Facebook"/>
    <s v="2025-05-06"/>
    <s v="Image"/>
    <s v="Explore the latest image on Myntra! Trendy styles await."/>
    <n v="4872"/>
    <n v="925"/>
    <n v="176"/>
    <n v="82824"/>
    <n v="7.2116777745580993E-2"/>
    <n v="82543"/>
    <n v="89"/>
    <s v="#MyntraSale,#MyntraTrend"/>
    <x v="0"/>
  </r>
  <r>
    <s v="P216"/>
    <s v="YouTube"/>
    <s v="2024-07-29"/>
    <s v="Story"/>
    <s v="Explore the latest story on Myntra! Trendy styles await."/>
    <n v="1509"/>
    <n v="88"/>
    <n v="163"/>
    <n v="30180"/>
    <n v="5.8316766070245198E-2"/>
    <n v="29689"/>
    <n v="119"/>
    <s v="#MyntraTrend"/>
    <x v="0"/>
  </r>
  <r>
    <s v="P217"/>
    <s v="Facebook"/>
    <s v="2024-12-03"/>
    <s v="Image"/>
    <s v="Explore the latest image on Myntra! Trendy styles await."/>
    <n v="4606"/>
    <n v="931"/>
    <n v="230"/>
    <n v="92120"/>
    <n v="6.2603126356925748E-2"/>
    <n v="91440"/>
    <n v="56"/>
    <s v="#FashionDeals,#MyntraFashion"/>
    <x v="2"/>
  </r>
  <r>
    <s v="P218"/>
    <s v="Facebook"/>
    <s v="2024-06-11"/>
    <s v="Carousel"/>
    <s v="Explore the latest carousel on Myntra! Trendy styles await."/>
    <n v="1869"/>
    <n v="453"/>
    <n v="490"/>
    <n v="14952"/>
    <n v="0.18806848582129482"/>
    <n v="14309"/>
    <n v="275"/>
    <s v="#FashionDeals,#StyleWithMyntra"/>
    <x v="0"/>
  </r>
  <r>
    <s v="P219"/>
    <s v="Twitter"/>
    <s v="2025-01-28"/>
    <s v="Reel"/>
    <s v="Explore the latest reel on Myntra! Trendy styles await."/>
    <n v="1188"/>
    <n v="470"/>
    <n v="174"/>
    <n v="7128"/>
    <n v="0.25701459034792368"/>
    <n v="6145"/>
    <n v="270"/>
    <s v="#StyleWithMyntra,#MyntraFashion"/>
    <x v="1"/>
  </r>
  <r>
    <s v="P220"/>
    <s v="Instagram"/>
    <s v="2024-06-02"/>
    <s v="Story"/>
    <s v="Explore the latest story on Myntra! Trendy styles await."/>
    <n v="84"/>
    <n v="897"/>
    <n v="85"/>
    <n v="588"/>
    <n v="1.8129251700680271"/>
    <n v="8"/>
    <n v="12"/>
    <s v="#StyleWithMyntra"/>
    <x v="1"/>
  </r>
  <r>
    <s v="P221"/>
    <s v="Facebook"/>
    <s v="2025-03-23"/>
    <s v="Video"/>
    <s v="Explore the latest video on Myntra! Trendy styles await."/>
    <n v="4453"/>
    <n v="111"/>
    <n v="420"/>
    <n v="31171"/>
    <n v="0.15989220750056141"/>
    <n v="30565"/>
    <n v="23"/>
    <s v="#MyntraTrend,#MyntraFashion"/>
    <x v="3"/>
  </r>
  <r>
    <s v="P222"/>
    <s v="Facebook"/>
    <s v="2024-10-08"/>
    <s v="Reel"/>
    <s v="Explore the latest reel on Myntra! Trendy styles await."/>
    <n v="1814"/>
    <n v="653"/>
    <n v="363"/>
    <n v="25396"/>
    <n v="0.11143487163332809"/>
    <n v="25286"/>
    <n v="39"/>
    <s v="#StyleWithMyntra"/>
    <x v="0"/>
  </r>
  <r>
    <s v="P223"/>
    <s v="Twitter"/>
    <s v="2024-11-12"/>
    <s v="Image"/>
    <s v="Explore the latest image on Myntra! Trendy styles await."/>
    <n v="3338"/>
    <n v="277"/>
    <n v="118"/>
    <n v="60084"/>
    <n v="6.2129685107516146E-2"/>
    <n v="59842"/>
    <n v="252"/>
    <s v="#StyleWithMyntra"/>
    <x v="0"/>
  </r>
  <r>
    <s v="P224"/>
    <s v="Facebook"/>
    <s v="2025-05-13"/>
    <s v="Image"/>
    <s v="Explore the latest image on Myntra! Trendy styles await."/>
    <n v="602"/>
    <n v="594"/>
    <n v="156"/>
    <n v="4214"/>
    <n v="0.32083531086853345"/>
    <n v="3363"/>
    <n v="164"/>
    <s v="#MyntraSale"/>
    <x v="2"/>
  </r>
  <r>
    <s v="P225"/>
    <s v="Twitter"/>
    <s v="2024-06-20"/>
    <s v="Carousel"/>
    <s v="Explore the latest carousel on Myntra! Trendy styles await."/>
    <n v="4672"/>
    <n v="325"/>
    <n v="32"/>
    <n v="88768"/>
    <n v="5.6653298485940883E-2"/>
    <n v="87833"/>
    <n v="118"/>
    <s v="#FashionDeals,#MyntraSale"/>
    <x v="2"/>
  </r>
  <r>
    <s v="P226"/>
    <s v="Instagram"/>
    <s v="2024-08-07"/>
    <s v="Carousel"/>
    <s v="Explore the latest carousel on Myntra! Trendy styles await."/>
    <n v="1741"/>
    <n v="164"/>
    <n v="318"/>
    <n v="8705"/>
    <n v="0.25537047673750718"/>
    <n v="8272"/>
    <n v="121"/>
    <s v="#MyntraSale"/>
    <x v="1"/>
  </r>
  <r>
    <s v="P227"/>
    <s v="Instagram"/>
    <s v="2024-06-12"/>
    <s v="Text"/>
    <s v="Explore the latest text on Myntra! Trendy styles await."/>
    <n v="246"/>
    <n v="149"/>
    <n v="130"/>
    <n v="4674"/>
    <n v="0.11232349165596919"/>
    <n v="4390"/>
    <n v="217"/>
    <s v="#MyntraTrend,#FashionDeals"/>
    <x v="1"/>
  </r>
  <r>
    <s v="P228"/>
    <s v="Instagram"/>
    <s v="2024-07-01"/>
    <s v="Story"/>
    <s v="Explore the latest story on Myntra! Trendy styles await."/>
    <n v="4808"/>
    <n v="772"/>
    <n v="320"/>
    <n v="72120"/>
    <n v="8.1808097615085965E-2"/>
    <n v="71696"/>
    <n v="195"/>
    <s v="#MyntraTrend,#MyntraSale"/>
    <x v="3"/>
  </r>
  <r>
    <s v="P229"/>
    <s v="Instagram"/>
    <s v="2024-07-03"/>
    <s v="Carousel"/>
    <s v="Explore the latest carousel on Myntra! Trendy styles await."/>
    <n v="4799"/>
    <n v="694"/>
    <n v="289"/>
    <n v="43191"/>
    <n v="0.13387048227640017"/>
    <n v="42228"/>
    <n v="118"/>
    <s v="#MyntraTrend"/>
    <x v="1"/>
  </r>
  <r>
    <s v="P230"/>
    <s v="Facebook"/>
    <s v="2024-07-15"/>
    <s v="Reel"/>
    <s v="Explore the latest reel on Myntra! Trendy styles await."/>
    <n v="3663"/>
    <n v="17"/>
    <n v="295"/>
    <n v="51282"/>
    <n v="7.7512577512577507E-2"/>
    <n v="50567"/>
    <n v="84"/>
    <s v="#MyntraSale"/>
    <x v="0"/>
  </r>
  <r>
    <s v="P231"/>
    <s v="Instagram"/>
    <s v="2025-05-01"/>
    <s v="Text"/>
    <s v="Explore the latest text on Myntra! Trendy styles await."/>
    <n v="1430"/>
    <n v="376"/>
    <n v="33"/>
    <n v="21450"/>
    <n v="8.5734265734265735E-2"/>
    <n v="20509"/>
    <n v="251"/>
    <s v="#FashionDeals"/>
    <x v="2"/>
  </r>
  <r>
    <s v="P232"/>
    <s v="Twitter"/>
    <s v="2025-04-29"/>
    <s v="Story"/>
    <s v="Explore the latest story on Myntra! Trendy styles await."/>
    <n v="249"/>
    <n v="592"/>
    <n v="230"/>
    <n v="1494"/>
    <n v="0.7168674698795181"/>
    <n v="1044"/>
    <n v="201"/>
    <s v="#MyntraFashion,#MyntraTrend"/>
    <x v="3"/>
  </r>
  <r>
    <s v="P233"/>
    <s v="Facebook"/>
    <s v="2025-03-08"/>
    <s v="Image"/>
    <s v="Explore the latest image on Myntra! Trendy styles await."/>
    <n v="2382"/>
    <n v="265"/>
    <n v="134"/>
    <n v="38112"/>
    <n v="7.2969143576826198E-2"/>
    <n v="37437"/>
    <n v="249"/>
    <s v="#FashionDeals,#MyntraTrend"/>
    <x v="1"/>
  </r>
  <r>
    <s v="P234"/>
    <s v="Facebook"/>
    <s v="2024-06-01"/>
    <s v="Text"/>
    <s v="Explore the latest text on Myntra! Trendy styles await."/>
    <n v="1272"/>
    <n v="465"/>
    <n v="99"/>
    <n v="24168"/>
    <n v="7.5968222442899705E-2"/>
    <n v="23719"/>
    <n v="42"/>
    <s v="#MyntraFashion,#FashionDeals"/>
    <x v="1"/>
  </r>
  <r>
    <s v="P235"/>
    <s v="Facebook"/>
    <s v="2024-12-22"/>
    <s v="Image"/>
    <s v="Explore the latest image on Myntra! Trendy styles await."/>
    <n v="3196"/>
    <n v="941"/>
    <n v="376"/>
    <n v="35156"/>
    <n v="0.1283706906360223"/>
    <n v="34444"/>
    <n v="241"/>
    <s v="#StyleWithMyntra,#MyntraTrend"/>
    <x v="3"/>
  </r>
  <r>
    <s v="P236"/>
    <s v="Facebook"/>
    <s v="2024-08-19"/>
    <s v="Text"/>
    <s v="Explore the latest text on Myntra! Trendy styles await."/>
    <n v="1257"/>
    <n v="19"/>
    <n v="351"/>
    <n v="12570"/>
    <n v="0.12943516308671441"/>
    <n v="11660"/>
    <n v="194"/>
    <s v="#StyleWithMyntra"/>
    <x v="0"/>
  </r>
  <r>
    <s v="P237"/>
    <s v="Instagram"/>
    <s v="2024-10-22"/>
    <s v="Story"/>
    <s v="Explore the latest story on Myntra! Trendy styles await."/>
    <n v="3770"/>
    <n v="917"/>
    <n v="129"/>
    <n v="71630"/>
    <n v="6.7234398994834563E-2"/>
    <n v="71322"/>
    <n v="76"/>
    <s v="#MyntraSale,#MyntraTrend"/>
    <x v="3"/>
  </r>
  <r>
    <s v="P238"/>
    <s v="Twitter"/>
    <s v="2024-07-16"/>
    <s v="Text"/>
    <s v="Explore the latest text on Myntra! Trendy styles await."/>
    <n v="4725"/>
    <n v="400"/>
    <n v="362"/>
    <n v="75600"/>
    <n v="7.2579365079365077E-2"/>
    <n v="74927"/>
    <n v="43"/>
    <s v="#MyntraTrend,#MyntraFashion"/>
    <x v="0"/>
  </r>
  <r>
    <s v="P239"/>
    <s v="YouTube"/>
    <s v="2025-02-24"/>
    <s v="Text"/>
    <s v="Explore the latest text on Myntra! Trendy styles await."/>
    <n v="4188"/>
    <n v="942"/>
    <n v="118"/>
    <n v="20940"/>
    <n v="0.25062082139446035"/>
    <n v="20471"/>
    <n v="102"/>
    <s v="#StyleWithMyntra"/>
    <x v="1"/>
  </r>
  <r>
    <s v="P240"/>
    <s v="Twitter"/>
    <s v="2024-08-26"/>
    <s v="Carousel"/>
    <s v="Explore the latest carousel on Myntra! Trendy styles await."/>
    <n v="929"/>
    <n v="192"/>
    <n v="322"/>
    <n v="16722"/>
    <n v="8.6293505561535699E-2"/>
    <n v="15996"/>
    <n v="145"/>
    <s v="#MyntraFashion"/>
    <x v="2"/>
  </r>
  <r>
    <s v="P241"/>
    <s v="Facebook"/>
    <s v="2025-01-18"/>
    <s v="Story"/>
    <s v="Explore the latest story on Myntra! Trendy styles await."/>
    <n v="4321"/>
    <n v="874"/>
    <n v="172"/>
    <n v="30247"/>
    <n v="0.17743908486792079"/>
    <n v="29254"/>
    <n v="122"/>
    <s v="#MyntraSale,#MyntraFashion"/>
    <x v="2"/>
  </r>
  <r>
    <s v="P242"/>
    <s v="Facebook"/>
    <s v="2024-07-07"/>
    <s v="Reel"/>
    <s v="Explore the latest reel on Myntra! Trendy styles await."/>
    <n v="4767"/>
    <n v="190"/>
    <n v="340"/>
    <n v="28602"/>
    <n v="0.18519683938186141"/>
    <n v="28044"/>
    <n v="210"/>
    <s v="#FashionDeals"/>
    <x v="3"/>
  </r>
  <r>
    <s v="P243"/>
    <s v="Twitter"/>
    <s v="2025-03-06"/>
    <s v="Image"/>
    <s v="Explore the latest image on Myntra! Trendy styles await."/>
    <n v="3592"/>
    <n v="911"/>
    <n v="375"/>
    <n v="50288"/>
    <n v="9.7001272669424113E-2"/>
    <n v="49490"/>
    <n v="32"/>
    <s v="#StyleWithMyntra"/>
    <x v="1"/>
  </r>
  <r>
    <s v="P244"/>
    <s v="YouTube"/>
    <s v="2024-10-25"/>
    <s v="Video"/>
    <s v="Explore the latest video on Myntra! Trendy styles await."/>
    <n v="4661"/>
    <n v="935"/>
    <n v="433"/>
    <n v="23305"/>
    <n v="0.25869984981763572"/>
    <n v="22583"/>
    <n v="63"/>
    <s v="#StyleWithMyntra,#FashionDeals"/>
    <x v="0"/>
  </r>
  <r>
    <s v="P245"/>
    <s v="Facebook"/>
    <s v="2025-01-12"/>
    <s v="Reel"/>
    <s v="Explore the latest reel on Myntra! Trendy styles await."/>
    <n v="4134"/>
    <n v="824"/>
    <n v="99"/>
    <n v="41340"/>
    <n v="0.12232704402515723"/>
    <n v="41050"/>
    <n v="177"/>
    <s v="#MyntraFashion"/>
    <x v="1"/>
  </r>
  <r>
    <s v="P246"/>
    <s v="Facebook"/>
    <s v="2024-10-11"/>
    <s v="Image"/>
    <s v="Explore the latest image on Myntra! Trendy styles await."/>
    <n v="400"/>
    <n v="680"/>
    <n v="434"/>
    <n v="6400"/>
    <n v="0.23656250000000001"/>
    <n v="5472"/>
    <n v="160"/>
    <s v="#MyntraSale,#MyntraTrend"/>
    <x v="1"/>
  </r>
  <r>
    <s v="P247"/>
    <s v="Facebook"/>
    <s v="2024-08-27"/>
    <s v="Reel"/>
    <s v="Explore the latest reel on Myntra! Trendy styles await."/>
    <n v="3960"/>
    <n v="266"/>
    <n v="8"/>
    <n v="35640"/>
    <n v="0.11879910213243547"/>
    <n v="34850"/>
    <n v="208"/>
    <s v="#MyntraTrend,#MyntraFashion"/>
    <x v="3"/>
  </r>
  <r>
    <s v="P248"/>
    <s v="Facebook"/>
    <s v="2025-02-02"/>
    <s v="Story"/>
    <s v="Explore the latest story on Myntra! Trendy styles await."/>
    <n v="886"/>
    <n v="126"/>
    <n v="153"/>
    <n v="4430"/>
    <n v="0.26297968397291194"/>
    <n v="4037"/>
    <n v="212"/>
    <s v="#MyntraSale"/>
    <x v="2"/>
  </r>
  <r>
    <s v="P249"/>
    <s v="Twitter"/>
    <s v="2024-07-18"/>
    <s v="Image"/>
    <s v="Explore the latest image on Myntra! Trendy styles await."/>
    <n v="827"/>
    <n v="77"/>
    <n v="402"/>
    <n v="14886"/>
    <n v="8.7733440816874911E-2"/>
    <n v="14129"/>
    <n v="254"/>
    <s v="#StyleWithMyntra"/>
    <x v="1"/>
  </r>
  <r>
    <s v="P250"/>
    <s v="Facebook"/>
    <s v="2024-06-22"/>
    <s v="Reel"/>
    <s v="Explore the latest reel on Myntra! Trendy styles await."/>
    <n v="3813"/>
    <n v="935"/>
    <n v="274"/>
    <n v="68634"/>
    <n v="7.3170731707317069E-2"/>
    <n v="68488"/>
    <n v="251"/>
    <s v="#FashionDeals,#MyntraTrend"/>
    <x v="0"/>
  </r>
  <r>
    <s v="P251"/>
    <s v="Instagram"/>
    <s v="2025-03-27"/>
    <s v="Carousel"/>
    <s v="Explore the latest carousel on Myntra! Trendy styles await."/>
    <n v="1377"/>
    <n v="796"/>
    <n v="387"/>
    <n v="22032"/>
    <n v="0.11619462599854757"/>
    <n v="21869"/>
    <n v="189"/>
    <s v="#FashionDeals,#MyntraFashion"/>
    <x v="2"/>
  </r>
  <r>
    <s v="P252"/>
    <s v="Facebook"/>
    <s v="2025-04-28"/>
    <s v="Carousel"/>
    <s v="Explore the latest carousel on Myntra! Trendy styles await."/>
    <n v="2089"/>
    <n v="476"/>
    <n v="69"/>
    <n v="16712"/>
    <n v="0.15761129727142173"/>
    <n v="16309"/>
    <n v="64"/>
    <s v="#StyleWithMyntra,#MyntraSale"/>
    <x v="0"/>
  </r>
  <r>
    <s v="P253"/>
    <s v="Twitter"/>
    <s v="2024-08-03"/>
    <s v="Reel"/>
    <s v="Explore the latest reel on Myntra! Trendy styles await."/>
    <n v="3791"/>
    <n v="593"/>
    <n v="228"/>
    <n v="53074"/>
    <n v="8.6897539284772202E-2"/>
    <n v="52613"/>
    <n v="205"/>
    <s v="#StyleWithMyntra,#FashionDeals"/>
    <x v="0"/>
  </r>
  <r>
    <s v="P254"/>
    <s v="Twitter"/>
    <s v="2025-01-14"/>
    <s v="Image"/>
    <s v="Explore the latest image on Myntra! Trendy styles await."/>
    <n v="2692"/>
    <n v="115"/>
    <n v="64"/>
    <n v="21536"/>
    <n v="0.13331166419019316"/>
    <n v="21120"/>
    <n v="224"/>
    <s v="#FashionDeals,#MyntraTrend"/>
    <x v="3"/>
  </r>
  <r>
    <s v="P255"/>
    <s v="Facebook"/>
    <s v="2025-04-03"/>
    <s v="Story"/>
    <s v="Explore the latest story on Myntra! Trendy styles await."/>
    <n v="3767"/>
    <n v="514"/>
    <n v="238"/>
    <n v="37670"/>
    <n v="0.11996283514733209"/>
    <n v="36807"/>
    <n v="226"/>
    <s v="#StyleWithMyntra,#FashionDeals"/>
    <x v="0"/>
  </r>
  <r>
    <s v="P256"/>
    <s v="YouTube"/>
    <s v="2024-09-18"/>
    <s v="Carousel"/>
    <s v="Explore the latest carousel on Myntra! Trendy styles await."/>
    <n v="2143"/>
    <n v="12"/>
    <n v="204"/>
    <n v="40717"/>
    <n v="5.7936488444630008E-2"/>
    <n v="40125"/>
    <n v="248"/>
    <s v="#FashionDeals,#MyntraSale"/>
    <x v="3"/>
  </r>
  <r>
    <s v="P257"/>
    <s v="Facebook"/>
    <s v="2025-04-06"/>
    <s v="Image"/>
    <s v="Explore the latest image on Myntra! Trendy styles await."/>
    <n v="3090"/>
    <n v="697"/>
    <n v="164"/>
    <n v="49440"/>
    <n v="7.9915048543689318E-2"/>
    <n v="48524"/>
    <n v="25"/>
    <s v="#FashionDeals,#StyleWithMyntra"/>
    <x v="3"/>
  </r>
  <r>
    <s v="P258"/>
    <s v="Instagram"/>
    <s v="2024-08-05"/>
    <s v="Story"/>
    <s v="Explore the latest story on Myntra! Trendy styles await."/>
    <n v="3601"/>
    <n v="695"/>
    <n v="75"/>
    <n v="21606"/>
    <n v="0.2023049153013052"/>
    <n v="21454"/>
    <n v="172"/>
    <s v="#StyleWithMyntra"/>
    <x v="1"/>
  </r>
  <r>
    <s v="P259"/>
    <s v="Facebook"/>
    <s v="2025-02-10"/>
    <s v="Text"/>
    <s v="Explore the latest text on Myntra! Trendy styles await."/>
    <n v="562"/>
    <n v="158"/>
    <n v="149"/>
    <n v="3372"/>
    <n v="0.25771055753262156"/>
    <n v="2940"/>
    <n v="93"/>
    <s v="#FashionDeals,#MyntraSale"/>
    <x v="3"/>
  </r>
  <r>
    <s v="P260"/>
    <s v="Instagram"/>
    <s v="2025-02-12"/>
    <s v="Story"/>
    <s v="Explore the latest story on Myntra! Trendy styles await."/>
    <n v="4332"/>
    <n v="771"/>
    <n v="219"/>
    <n v="60648"/>
    <n v="8.7752275425405618E-2"/>
    <n v="60397"/>
    <n v="10"/>
    <s v="#MyntraFashion"/>
    <x v="2"/>
  </r>
  <r>
    <s v="P261"/>
    <s v="Instagram"/>
    <s v="2024-10-27"/>
    <s v="Image"/>
    <s v="Explore the latest image on Myntra! Trendy styles await."/>
    <n v="4853"/>
    <n v="837"/>
    <n v="340"/>
    <n v="72795"/>
    <n v="8.2835359571399134E-2"/>
    <n v="72237"/>
    <n v="170"/>
    <s v="#MyntraSale"/>
    <x v="1"/>
  </r>
  <r>
    <s v="P262"/>
    <s v="YouTube"/>
    <s v="2025-01-18"/>
    <s v="Image"/>
    <s v="Explore the latest image on Myntra! Trendy styles await."/>
    <n v="1206"/>
    <n v="238"/>
    <n v="36"/>
    <n v="9648"/>
    <n v="0.15339966832504145"/>
    <n v="9417"/>
    <n v="237"/>
    <s v="#MyntraSale,#StyleWithMyntra"/>
    <x v="2"/>
  </r>
  <r>
    <s v="P263"/>
    <s v="Instagram"/>
    <s v="2024-08-20"/>
    <s v="Reel"/>
    <s v="Explore the latest reel on Myntra! Trendy styles await."/>
    <n v="2603"/>
    <n v="690"/>
    <n v="205"/>
    <n v="13015"/>
    <n v="0.26876680752977333"/>
    <n v="12130"/>
    <n v="20"/>
    <s v="#MyntraTrend"/>
    <x v="0"/>
  </r>
  <r>
    <s v="P264"/>
    <s v="Twitter"/>
    <s v="2025-01-30"/>
    <s v="Image"/>
    <s v="Explore the latest image on Myntra! Trendy styles await."/>
    <n v="59"/>
    <n v="163"/>
    <n v="93"/>
    <n v="590"/>
    <n v="0.53389830508474578"/>
    <n v="475"/>
    <n v="293"/>
    <s v="#MyntraTrend"/>
    <x v="3"/>
  </r>
  <r>
    <s v="P265"/>
    <s v="Twitter"/>
    <s v="2025-02-20"/>
    <s v="Carousel"/>
    <s v="Explore the latest carousel on Myntra! Trendy styles await."/>
    <n v="1877"/>
    <n v="745"/>
    <n v="225"/>
    <n v="11262"/>
    <n v="0.25279701651571657"/>
    <n v="10967"/>
    <n v="41"/>
    <s v="#StyleWithMyntra,#MyntraSale"/>
    <x v="0"/>
  </r>
  <r>
    <s v="P266"/>
    <s v="Facebook"/>
    <s v="2024-11-25"/>
    <s v="Story"/>
    <s v="Explore the latest story on Myntra! Trendy styles await."/>
    <n v="4182"/>
    <n v="640"/>
    <n v="240"/>
    <n v="50184"/>
    <n v="0.10086880280567512"/>
    <n v="49351"/>
    <n v="10"/>
    <s v="#MyntraSale,#StyleWithMyntra"/>
    <x v="2"/>
  </r>
  <r>
    <s v="P267"/>
    <s v="Twitter"/>
    <s v="2024-10-04"/>
    <s v="Reel"/>
    <s v="Explore the latest reel on Myntra! Trendy styles await."/>
    <n v="4187"/>
    <n v="66"/>
    <n v="31"/>
    <n v="66992"/>
    <n v="6.3947934081681396E-2"/>
    <n v="66614"/>
    <n v="62"/>
    <s v="#StyleWithMyntra"/>
    <x v="3"/>
  </r>
  <r>
    <s v="P268"/>
    <s v="Instagram"/>
    <s v="2025-04-13"/>
    <s v="Reel"/>
    <s v="Explore the latest reel on Myntra! Trendy styles await."/>
    <n v="4579"/>
    <n v="125"/>
    <n v="300"/>
    <n v="59527"/>
    <n v="8.4062694239588759E-2"/>
    <n v="59400"/>
    <n v="269"/>
    <s v="#StyleWithMyntra,#MyntraFashion"/>
    <x v="0"/>
  </r>
  <r>
    <s v="P269"/>
    <s v="Instagram"/>
    <s v="2024-11-05"/>
    <s v="Video"/>
    <s v="Explore the latest video on Myntra! Trendy styles await."/>
    <n v="4561"/>
    <n v="51"/>
    <n v="441"/>
    <n v="22805"/>
    <n v="0.22157421618066214"/>
    <n v="21890"/>
    <n v="45"/>
    <s v="#StyleWithMyntra"/>
    <x v="1"/>
  </r>
  <r>
    <s v="P270"/>
    <s v="YouTube"/>
    <s v="2025-01-15"/>
    <s v="Reel"/>
    <s v="Explore the latest reel on Myntra! Trendy styles await."/>
    <n v="3774"/>
    <n v="239"/>
    <n v="39"/>
    <n v="60384"/>
    <n v="6.7103868574456813E-2"/>
    <n v="59490"/>
    <n v="241"/>
    <s v="#FashionDeals"/>
    <x v="2"/>
  </r>
  <r>
    <s v="P271"/>
    <s v="Instagram"/>
    <s v="2024-10-17"/>
    <s v="Video"/>
    <s v="Explore the latest video on Myntra! Trendy styles await."/>
    <n v="3575"/>
    <n v="749"/>
    <n v="111"/>
    <n v="21450"/>
    <n v="0.20675990675990677"/>
    <n v="20785"/>
    <n v="195"/>
    <s v="#FashionDeals"/>
    <x v="2"/>
  </r>
  <r>
    <s v="P272"/>
    <s v="Instagram"/>
    <s v="2025-03-27"/>
    <s v="Text"/>
    <s v="Explore the latest text on Myntra! Trendy styles await."/>
    <n v="4941"/>
    <n v="414"/>
    <n v="266"/>
    <n v="39528"/>
    <n v="0.14220299534507186"/>
    <n v="39154"/>
    <n v="217"/>
    <s v="#MyntraSale"/>
    <x v="1"/>
  </r>
  <r>
    <s v="P273"/>
    <s v="YouTube"/>
    <s v="2024-10-12"/>
    <s v="Story"/>
    <s v="Explore the latest story on Myntra! Trendy styles await."/>
    <n v="3641"/>
    <n v="226"/>
    <n v="46"/>
    <n v="40051"/>
    <n v="9.7700431949264685E-2"/>
    <n v="39319"/>
    <n v="296"/>
    <s v="#MyntraTrend"/>
    <x v="1"/>
  </r>
  <r>
    <s v="P274"/>
    <s v="Twitter"/>
    <s v="2025-01-01"/>
    <s v="Carousel"/>
    <s v="Explore the latest carousel on Myntra! Trendy styles await."/>
    <n v="3535"/>
    <n v="494"/>
    <n v="152"/>
    <n v="53025"/>
    <n v="7.8849599245638849E-2"/>
    <n v="52791"/>
    <n v="44"/>
    <s v="#MyntraTrend,#StyleWithMyntra"/>
    <x v="1"/>
  </r>
  <r>
    <s v="P275"/>
    <s v="Facebook"/>
    <s v="2024-08-05"/>
    <s v="Reel"/>
    <s v="Explore the latest reel on Myntra! Trendy styles await."/>
    <n v="1741"/>
    <n v="831"/>
    <n v="345"/>
    <n v="17410"/>
    <n v="0.16754738655944859"/>
    <n v="16844"/>
    <n v="58"/>
    <s v="#MyntraFashion,#FashionDeals"/>
    <x v="3"/>
  </r>
  <r>
    <s v="P276"/>
    <s v="Twitter"/>
    <s v="2024-06-07"/>
    <s v="Carousel"/>
    <s v="Explore the latest carousel on Myntra! Trendy styles await."/>
    <n v="1556"/>
    <n v="195"/>
    <n v="131"/>
    <n v="9336"/>
    <n v="0.2015852613538989"/>
    <n v="8875"/>
    <n v="137"/>
    <s v="#MyntraFashion"/>
    <x v="1"/>
  </r>
  <r>
    <s v="P277"/>
    <s v="Facebook"/>
    <s v="2025-04-06"/>
    <s v="Image"/>
    <s v="Explore the latest image on Myntra! Trendy styles await."/>
    <n v="4236"/>
    <n v="711"/>
    <n v="298"/>
    <n v="21180"/>
    <n v="0.24763928234183191"/>
    <n v="20516"/>
    <n v="238"/>
    <s v="#MyntraTrend,#MyntraSale"/>
    <x v="3"/>
  </r>
  <r>
    <s v="P278"/>
    <s v="Twitter"/>
    <s v="2024-11-26"/>
    <s v="Text"/>
    <s v="Explore the latest text on Myntra! Trendy styles await."/>
    <n v="4516"/>
    <n v="836"/>
    <n v="169"/>
    <n v="49676"/>
    <n v="0.11114018842096787"/>
    <n v="49257"/>
    <n v="282"/>
    <s v="#MyntraTrend"/>
    <x v="0"/>
  </r>
  <r>
    <s v="P279"/>
    <s v="YouTube"/>
    <s v="2024-09-02"/>
    <s v="Image"/>
    <s v="Explore the latest image on Myntra! Trendy styles await."/>
    <n v="4905"/>
    <n v="845"/>
    <n v="129"/>
    <n v="98100"/>
    <n v="5.9928644240570844E-2"/>
    <n v="97772"/>
    <n v="279"/>
    <s v="#MyntraTrend"/>
    <x v="3"/>
  </r>
  <r>
    <s v="P280"/>
    <s v="YouTube"/>
    <s v="2024-10-21"/>
    <s v="Video"/>
    <s v="Explore the latest video on Myntra! Trendy styles await."/>
    <n v="4275"/>
    <n v="680"/>
    <n v="385"/>
    <n v="64125"/>
    <n v="8.3274853801169585E-2"/>
    <n v="63650"/>
    <n v="104"/>
    <s v="#StyleWithMyntra"/>
    <x v="3"/>
  </r>
  <r>
    <s v="P281"/>
    <s v="YouTube"/>
    <s v="2025-03-22"/>
    <s v="Image"/>
    <s v="Explore the latest image on Myntra! Trendy styles await."/>
    <n v="3166"/>
    <n v="90"/>
    <n v="341"/>
    <n v="56988"/>
    <n v="6.3118551273952411E-2"/>
    <n v="56125"/>
    <n v="135"/>
    <s v="#MyntraFashion,#StyleWithMyntra"/>
    <x v="1"/>
  </r>
  <r>
    <s v="P282"/>
    <s v="Instagram"/>
    <s v="2024-10-03"/>
    <s v="Video"/>
    <s v="Explore the latest video on Myntra! Trendy styles await."/>
    <n v="1488"/>
    <n v="417"/>
    <n v="168"/>
    <n v="19344"/>
    <n v="0.1071650124069479"/>
    <n v="18395"/>
    <n v="30"/>
    <s v="#MyntraSale"/>
    <x v="0"/>
  </r>
  <r>
    <s v="P283"/>
    <s v="Twitter"/>
    <s v="2025-05-09"/>
    <s v="Reel"/>
    <s v="Explore the latest reel on Myntra! Trendy styles await."/>
    <n v="3367"/>
    <n v="302"/>
    <n v="57"/>
    <n v="63973"/>
    <n v="5.8243321401216137E-2"/>
    <n v="63789"/>
    <n v="157"/>
    <s v="#MyntraTrend,#MyntraFashion"/>
    <x v="2"/>
  </r>
  <r>
    <s v="P284"/>
    <s v="Twitter"/>
    <s v="2024-09-17"/>
    <s v="Text"/>
    <s v="Explore the latest text on Myntra! Trendy styles await."/>
    <n v="571"/>
    <n v="190"/>
    <n v="352"/>
    <n v="9707"/>
    <n v="0.11465952405480581"/>
    <n v="9418"/>
    <n v="231"/>
    <s v="#FashionDeals"/>
    <x v="1"/>
  </r>
  <r>
    <s v="P285"/>
    <s v="YouTube"/>
    <s v="2024-07-18"/>
    <s v="Text"/>
    <s v="Explore the latest text on Myntra! Trendy styles await."/>
    <n v="4021"/>
    <n v="794"/>
    <n v="77"/>
    <n v="36189"/>
    <n v="0.13517919809886983"/>
    <n v="35505"/>
    <n v="174"/>
    <s v="#FashionDeals,#StyleWithMyntra"/>
    <x v="0"/>
  </r>
  <r>
    <s v="P286"/>
    <s v="YouTube"/>
    <s v="2024-09-25"/>
    <s v="Video"/>
    <s v="Explore the latest video on Myntra! Trendy styles await."/>
    <n v="3389"/>
    <n v="344"/>
    <n v="229"/>
    <n v="20334"/>
    <n v="0.19484607062063539"/>
    <n v="19443"/>
    <n v="228"/>
    <s v="#MyntraFashion,#MyntraSale"/>
    <x v="1"/>
  </r>
  <r>
    <s v="P287"/>
    <s v="Instagram"/>
    <s v="2024-08-15"/>
    <s v="Reel"/>
    <s v="Explore the latest reel on Myntra! Trendy styles await."/>
    <n v="1164"/>
    <n v="616"/>
    <n v="324"/>
    <n v="6984"/>
    <n v="0.30126002290950743"/>
    <n v="6636"/>
    <n v="82"/>
    <s v="#MyntraFashion,#MyntraTrend"/>
    <x v="2"/>
  </r>
  <r>
    <s v="P288"/>
    <s v="YouTube"/>
    <s v="2025-04-17"/>
    <s v="Carousel"/>
    <s v="Explore the latest carousel on Myntra! Trendy styles await."/>
    <n v="4780"/>
    <n v="691"/>
    <n v="380"/>
    <n v="86040"/>
    <n v="6.800325430032543E-2"/>
    <n v="85743"/>
    <n v="262"/>
    <s v="#MyntraFashion,#FashionDeals"/>
    <x v="2"/>
  </r>
  <r>
    <s v="P289"/>
    <s v="Facebook"/>
    <s v="2024-11-28"/>
    <s v="Carousel"/>
    <s v="Explore the latest carousel on Myntra! Trendy styles await."/>
    <n v="2751"/>
    <n v="33"/>
    <n v="430"/>
    <n v="44016"/>
    <n v="7.3018902217375503E-2"/>
    <n v="43415"/>
    <n v="129"/>
    <s v="#MyntraTrend,#StyleWithMyntra"/>
    <x v="1"/>
  </r>
  <r>
    <s v="P290"/>
    <s v="Instagram"/>
    <s v="2024-12-20"/>
    <s v="Carousel"/>
    <s v="Explore the latest carousel on Myntra! Trendy styles await."/>
    <n v="2107"/>
    <n v="550"/>
    <n v="349"/>
    <n v="35819"/>
    <n v="8.3921940869371006E-2"/>
    <n v="35340"/>
    <n v="191"/>
    <s v="#MyntraTrend"/>
    <x v="2"/>
  </r>
  <r>
    <s v="P291"/>
    <s v="Facebook"/>
    <s v="2024-11-06"/>
    <s v="Video"/>
    <s v="Explore the latest video on Myntra! Trendy styles await."/>
    <n v="4663"/>
    <n v="145"/>
    <n v="225"/>
    <n v="69945"/>
    <n v="7.1956537279290869E-2"/>
    <n v="69596"/>
    <n v="35"/>
    <s v="#MyntraFashion"/>
    <x v="1"/>
  </r>
  <r>
    <s v="P292"/>
    <s v="Facebook"/>
    <s v="2024-11-17"/>
    <s v="Text"/>
    <s v="Explore the latest text on Myntra! Trendy styles await."/>
    <n v="880"/>
    <n v="297"/>
    <n v="345"/>
    <n v="12320"/>
    <n v="0.12353896103896105"/>
    <n v="11978"/>
    <n v="238"/>
    <s v="#MyntraSale"/>
    <x v="1"/>
  </r>
  <r>
    <s v="P293"/>
    <s v="Facebook"/>
    <s v="2025-05-14"/>
    <s v="Text"/>
    <s v="Explore the latest text on Myntra! Trendy styles await."/>
    <n v="2634"/>
    <n v="726"/>
    <n v="241"/>
    <n v="28974"/>
    <n v="0.12428384068475185"/>
    <n v="28102"/>
    <n v="277"/>
    <s v="#StyleWithMyntra"/>
    <x v="2"/>
  </r>
  <r>
    <s v="P294"/>
    <s v="Facebook"/>
    <s v="2024-06-19"/>
    <s v="Carousel"/>
    <s v="Explore the latest carousel on Myntra! Trendy styles await."/>
    <n v="4731"/>
    <n v="173"/>
    <n v="276"/>
    <n v="28386"/>
    <n v="0.18248432325794406"/>
    <n v="28185"/>
    <n v="89"/>
    <s v="#MyntraTrend,#MyntraFashion"/>
    <x v="3"/>
  </r>
  <r>
    <s v="P295"/>
    <s v="Twitter"/>
    <s v="2025-05-06"/>
    <s v="Image"/>
    <s v="Explore the latest image on Myntra! Trendy styles await."/>
    <n v="1952"/>
    <n v="344"/>
    <n v="287"/>
    <n v="15616"/>
    <n v="0.16540727459016394"/>
    <n v="15403"/>
    <n v="235"/>
    <s v="#MyntraSale,#MyntraFashion"/>
    <x v="2"/>
  </r>
  <r>
    <s v="P296"/>
    <s v="Twitter"/>
    <s v="2025-02-11"/>
    <s v="Video"/>
    <s v="Explore the latest video on Myntra! Trendy styles await."/>
    <n v="3440"/>
    <n v="13"/>
    <n v="20"/>
    <n v="58480"/>
    <n v="5.9387824897400819E-2"/>
    <n v="58146"/>
    <n v="210"/>
    <s v="#MyntraFashion,#FashionDeals"/>
    <x v="0"/>
  </r>
  <r>
    <s v="P297"/>
    <s v="Twitter"/>
    <s v="2024-12-24"/>
    <s v="Text"/>
    <s v="Explore the latest text on Myntra! Trendy styles await."/>
    <n v="2166"/>
    <n v="354"/>
    <n v="117"/>
    <n v="10830"/>
    <n v="0.24349030470914126"/>
    <n v="10245"/>
    <n v="24"/>
    <s v="#StyleWithMyntra,#MyntraTrend"/>
    <x v="0"/>
  </r>
  <r>
    <s v="P298"/>
    <s v="Facebook"/>
    <s v="2024-10-24"/>
    <s v="Image"/>
    <s v="Explore the latest image on Myntra! Trendy styles await."/>
    <n v="4303"/>
    <n v="451"/>
    <n v="286"/>
    <n v="86060"/>
    <n v="5.8563792702765516E-2"/>
    <n v="85823"/>
    <n v="14"/>
    <s v="#MyntraSale"/>
    <x v="1"/>
  </r>
  <r>
    <s v="P299"/>
    <s v="Facebook"/>
    <s v="2024-08-26"/>
    <s v="Image"/>
    <s v="Explore the latest image on Myntra! Trendy styles await."/>
    <n v="2581"/>
    <n v="517"/>
    <n v="117"/>
    <n v="23229"/>
    <n v="0.13840458048129492"/>
    <n v="22331"/>
    <n v="70"/>
    <s v="#MyntraSale,#StyleWithMyntra"/>
    <x v="1"/>
  </r>
  <r>
    <s v="P300"/>
    <s v="Twitter"/>
    <s v="2024-08-31"/>
    <s v="Carousel"/>
    <s v="Explore the latest carousel on Myntra! Trendy styles await."/>
    <n v="4494"/>
    <n v="717"/>
    <n v="45"/>
    <n v="62916"/>
    <n v="8.3539958039290485E-2"/>
    <n v="62688"/>
    <n v="191"/>
    <s v="#MyntraFashio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2F073-8178-4C4B-80DD-1C0B5674877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ampaign_Name" fieldListSortAscending="1">
  <location ref="A3:G7" firstHeaderRow="0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dataField="1"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Impressions" fld="8" subtotal="average" baseField="13" baseItem="0" numFmtId="1"/>
    <dataField name="Average of Likes" fld="5" subtotal="average" baseField="13" baseItem="0" numFmtId="1"/>
    <dataField name="Sum of Clicks" fld="11" baseField="0" baseItem="0"/>
    <dataField name="Average of Clicks" fld="11" subtotal="average" baseField="13" baseItem="0" numFmtId="1"/>
    <dataField name="Sum of Impressions" fld="8" baseField="0" baseItem="0"/>
    <dataField name="Sum of Likes" fld="5" baseField="0" baseItem="0"/>
  </dataFields>
  <formats count="3"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72A79FA-B42E-4F5D-ABB9-D1185413B86A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Campaign_Name" tableColumnId="1"/>
      <queryTableField id="2" name="Total Engagement" tableColumnId="2"/>
      <queryTableField id="3" name="Campaign Data (2).Total_Budget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900C33C-61AC-4E3F-8A5D-CCD3E64D439D}" autoFormatId="16" applyNumberFormats="0" applyBorderFormats="0" applyFontFormats="0" applyPatternFormats="0" applyAlignmentFormats="0" applyWidthHeightFormats="0">
  <queryTableRefresh nextId="15" unboundColumnsRight="3">
    <queryTableFields count="10">
      <queryTableField id="1" name="Campaign_Name" tableColumnId="1"/>
      <queryTableField id="2" name="Start_Date" tableColumnId="2"/>
      <queryTableField id="3" name="End_Date" tableColumnId="3"/>
      <queryTableField id="4" name="Campaign_Days" tableColumnId="4"/>
      <queryTableField id="5" name="Pre_Campaign_Period" tableColumnId="5"/>
      <queryTableField id="6" name="Engagement_During" tableColumnId="6"/>
      <queryTableField id="9" name="Engagement_Before" tableColumnId="9"/>
      <queryTableField id="11" dataBound="0" tableColumnId="10"/>
      <queryTableField id="12" dataBound="0" tableColumnId="11"/>
      <queryTableField id="13" dataBound="0" tableColumnId="12"/>
    </queryTableFields>
    <queryTableDeletedFields count="2">
      <deletedField name="Total_Budget"/>
      <deletedField name="Target_Platform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9CEF6EC-8A7D-437E-AA49-F8B8BBE84D87}" autoFormatId="16" applyNumberFormats="0" applyBorderFormats="0" applyFontFormats="0" applyPatternFormats="0" applyAlignmentFormats="0" applyWidthHeightFormats="0">
  <queryTableRefresh nextId="3">
    <queryTableFields count="2">
      <queryTableField id="1" name="Campaign_Name" tableColumnId="1"/>
      <queryTableField id="2" name="Total_Follower_Grow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4B7865-C46B-4385-A3F0-D8A346E77548}" name="Post__5" displayName="Post__5" ref="A1:D5" tableType="queryTable" totalsRowShown="0">
  <autoFilter ref="A1:D5" xr:uid="{754B7865-C46B-4385-A3F0-D8A346E77548}"/>
  <tableColumns count="4">
    <tableColumn id="1" xr3:uid="{E2C12B05-B40F-4034-9370-8F4CB695A45A}" uniqueName="1" name="Campaign_Name" queryTableFieldId="1" dataDxfId="9"/>
    <tableColumn id="2" xr3:uid="{161794F9-0DFC-4C9C-B7B0-EF994EF16885}" uniqueName="2" name="Total Engagement" queryTableFieldId="2"/>
    <tableColumn id="3" xr3:uid="{C75A8AB6-08A3-43DD-8812-28426F519F49}" uniqueName="3" name="Total_Budget" queryTableFieldId="3"/>
    <tableColumn id="4" xr3:uid="{6632FFB6-AA77-4A12-8BA4-56B063F95DAB}" uniqueName="4" name="Engagement_Per_Rupee" queryTableFieldId="4" dataDxfId="8">
      <calculatedColumnFormula>Post__5[[#This Row],[Total Engagement]]/Post__5[[#This Row],[Total_Budget]]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C1F523-A25B-48CB-ACC7-2F5295E19AE2}" name="Post__4" displayName="Post__4" ref="A1:J5" tableType="queryTable" totalsRowShown="0">
  <autoFilter ref="A1:J5" xr:uid="{91C1F523-A25B-48CB-ACC7-2F5295E19AE2}"/>
  <tableColumns count="10">
    <tableColumn id="1" xr3:uid="{7A6420A3-17B0-48D8-9476-49A6518585B6}" uniqueName="1" name="Campaign_Name" queryTableFieldId="1" dataDxfId="7"/>
    <tableColumn id="2" xr3:uid="{BB2675F8-D793-43AC-8944-EA89401BB934}" uniqueName="2" name="Start_Date" queryTableFieldId="2" dataDxfId="6"/>
    <tableColumn id="3" xr3:uid="{D4E84937-EA8A-4582-A7FE-05890B32F22E}" uniqueName="3" name="End_Date" queryTableFieldId="3" dataDxfId="5"/>
    <tableColumn id="4" xr3:uid="{5D618252-9216-406A-8F81-11AE0B2867AC}" uniqueName="4" name="Campaign_Days" queryTableFieldId="4"/>
    <tableColumn id="5" xr3:uid="{5CC26241-C327-40B1-A6BE-E62C16D121C6}" uniqueName="5" name="Pre_Campaign_Period" queryTableFieldId="5" dataDxfId="4"/>
    <tableColumn id="6" xr3:uid="{FCE05407-1606-4A7E-84D1-69E84C81EE42}" uniqueName="6" name="Engagement_During" queryTableFieldId="6"/>
    <tableColumn id="9" xr3:uid="{B2B0820C-EAE9-44D8-952A-95A78CD57652}" uniqueName="9" name="Engagement_Before" queryTableFieldId="9"/>
    <tableColumn id="10" xr3:uid="{F59F6603-EABB-4EE3-B4DA-69E96E2E81ED}" uniqueName="10" name="Daily_Engagement_Before" queryTableFieldId="11" dataDxfId="3">
      <calculatedColumnFormula>Post__4[[#This Row],[Engagement_Before]]/(Post__4[[#This Row],[Start_Date]]-Post__4[[#This Row],[Pre_Campaign_Period]])</calculatedColumnFormula>
    </tableColumn>
    <tableColumn id="11" xr3:uid="{95F79FC8-3566-4281-A470-72547FF1B717}" uniqueName="11" name="Daily_Engagement_During" queryTableFieldId="12" dataDxfId="2">
      <calculatedColumnFormula>Post__4[[#This Row],[Engagement_During]]/Post__4[[#This Row],[Campaign_Days]]</calculatedColumnFormula>
    </tableColumn>
    <tableColumn id="12" xr3:uid="{07E1BFDD-1936-43A7-8C82-A5E9C8406BDF}" uniqueName="12" name="Engagement_Uplift" queryTableFieldId="13" dataDxfId="1" dataCellStyle="Percent">
      <calculatedColumnFormula>(Post__4[[#This Row],[Daily_Engagement_During]]-Post__4[[#This Row],[Daily_Engagement_Before]])/Post__4[[#This Row],[Daily_Engagement_Before]]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4F2E50-5C1C-4B37-83C9-C6B985DD8B23}" name="Engagment_Summary" displayName="Engagment_Summary" ref="A1:B5" tableType="queryTable" totalsRowShown="0">
  <autoFilter ref="A1:B5" xr:uid="{094F2E50-5C1C-4B37-83C9-C6B985DD8B23}"/>
  <sortState xmlns:xlrd2="http://schemas.microsoft.com/office/spreadsheetml/2017/richdata2" ref="A2:B5">
    <sortCondition descending="1" ref="B2:B5"/>
  </sortState>
  <tableColumns count="2">
    <tableColumn id="1" xr3:uid="{A14AFE20-ACE0-40E4-8FA3-887337242C6C}" uniqueName="1" name="Campaign_Name" queryTableFieldId="1" dataDxfId="0"/>
    <tableColumn id="2" xr3:uid="{C27FAE9C-2F9A-4361-9B38-94BC8B78DFA2}" uniqueName="2" name="Total_Follower_Growth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DD17-603B-4F3A-B388-8EE738A7501B}">
  <dimension ref="A3:G7"/>
  <sheetViews>
    <sheetView tabSelected="1" workbookViewId="0">
      <selection activeCell="F12" sqref="F12"/>
    </sheetView>
  </sheetViews>
  <sheetFormatPr defaultRowHeight="15" x14ac:dyDescent="0.25"/>
  <cols>
    <col min="1" max="1" width="17.42578125" bestFit="1" customWidth="1"/>
    <col min="2" max="2" width="22.140625" bestFit="1" customWidth="1"/>
    <col min="3" max="3" width="16.5703125" bestFit="1" customWidth="1"/>
    <col min="4" max="4" width="12.5703125" bestFit="1" customWidth="1"/>
    <col min="5" max="5" width="16.140625" bestFit="1" customWidth="1"/>
    <col min="6" max="6" width="18.5703125" bestFit="1" customWidth="1"/>
    <col min="7" max="7" width="12" bestFit="1" customWidth="1"/>
  </cols>
  <sheetData>
    <row r="3" spans="1:7" x14ac:dyDescent="0.25">
      <c r="A3" s="1" t="s">
        <v>0</v>
      </c>
      <c r="B3" t="s">
        <v>13</v>
      </c>
      <c r="C3" t="s">
        <v>12</v>
      </c>
      <c r="D3" t="s">
        <v>11</v>
      </c>
      <c r="E3" t="s">
        <v>8</v>
      </c>
      <c r="F3" t="s">
        <v>10</v>
      </c>
      <c r="G3" t="s">
        <v>9</v>
      </c>
    </row>
    <row r="4" spans="1:7" x14ac:dyDescent="0.25">
      <c r="A4" s="2" t="s">
        <v>2</v>
      </c>
      <c r="B4" s="5">
        <v>34774.602409638552</v>
      </c>
      <c r="C4" s="5">
        <v>2804.6385542168673</v>
      </c>
      <c r="D4">
        <v>12376</v>
      </c>
      <c r="E4" s="5">
        <v>149.10843373493975</v>
      </c>
      <c r="F4">
        <v>2886292</v>
      </c>
      <c r="G4">
        <v>232785</v>
      </c>
    </row>
    <row r="5" spans="1:7" x14ac:dyDescent="0.25">
      <c r="A5" s="2" t="s">
        <v>1</v>
      </c>
      <c r="B5" s="5">
        <v>38727.319444444445</v>
      </c>
      <c r="C5" s="5">
        <v>2950.4305555555557</v>
      </c>
      <c r="D5">
        <v>11191</v>
      </c>
      <c r="E5" s="5">
        <v>155.43055555555554</v>
      </c>
      <c r="F5">
        <v>2788367</v>
      </c>
      <c r="G5">
        <v>212431</v>
      </c>
    </row>
    <row r="6" spans="1:7" x14ac:dyDescent="0.25">
      <c r="A6" s="2" t="s">
        <v>3</v>
      </c>
      <c r="B6" s="5">
        <v>33482.717948717946</v>
      </c>
      <c r="C6" s="5">
        <v>2547</v>
      </c>
      <c r="D6">
        <v>12464</v>
      </c>
      <c r="E6" s="5">
        <v>159.7948717948718</v>
      </c>
      <c r="F6">
        <v>2611652</v>
      </c>
      <c r="G6">
        <v>198666</v>
      </c>
    </row>
    <row r="7" spans="1:7" x14ac:dyDescent="0.25">
      <c r="A7" s="2" t="s">
        <v>4</v>
      </c>
      <c r="B7" s="5">
        <v>31460.328358208953</v>
      </c>
      <c r="C7" s="5">
        <v>2628.4925373134329</v>
      </c>
      <c r="D7">
        <v>9335</v>
      </c>
      <c r="E7" s="5">
        <v>139.32835820895522</v>
      </c>
      <c r="F7">
        <v>2107842</v>
      </c>
      <c r="G7">
        <v>176109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C6A0-DE18-4ED0-A7A2-95D6E66330DF}">
  <dimension ref="A1:D5"/>
  <sheetViews>
    <sheetView workbookViewId="0">
      <selection activeCell="E7" sqref="E7"/>
    </sheetView>
  </sheetViews>
  <sheetFormatPr defaultRowHeight="15" x14ac:dyDescent="0.25"/>
  <cols>
    <col min="1" max="1" width="18.42578125" bestFit="1" customWidth="1"/>
    <col min="2" max="2" width="19.28515625" bestFit="1" customWidth="1"/>
    <col min="3" max="3" width="17.7109375" customWidth="1"/>
    <col min="4" max="4" width="27.140625" customWidth="1"/>
    <col min="5" max="5" width="33.28515625" customWidth="1"/>
  </cols>
  <sheetData>
    <row r="1" spans="1:4" x14ac:dyDescent="0.25">
      <c r="A1" t="s">
        <v>0</v>
      </c>
      <c r="B1" t="s">
        <v>21</v>
      </c>
      <c r="C1" t="s">
        <v>7</v>
      </c>
      <c r="D1" t="s">
        <v>22</v>
      </c>
    </row>
    <row r="2" spans="1:4" x14ac:dyDescent="0.25">
      <c r="A2" t="s">
        <v>1</v>
      </c>
      <c r="B2">
        <v>265044</v>
      </c>
      <c r="C2">
        <v>160000</v>
      </c>
      <c r="D2" s="7">
        <f>Post__5[[#This Row],[Total Engagement]]/Post__5[[#This Row],[Total_Budget]]</f>
        <v>1.656525</v>
      </c>
    </row>
    <row r="3" spans="1:4" x14ac:dyDescent="0.25">
      <c r="A3" t="s">
        <v>2</v>
      </c>
      <c r="B3">
        <v>295774</v>
      </c>
      <c r="C3">
        <v>180000</v>
      </c>
      <c r="D3" s="7">
        <f>Post__5[[#This Row],[Total Engagement]]/Post__5[[#This Row],[Total_Budget]]</f>
        <v>1.6431888888888888</v>
      </c>
    </row>
    <row r="4" spans="1:4" x14ac:dyDescent="0.25">
      <c r="A4" t="s">
        <v>3</v>
      </c>
      <c r="B4">
        <v>256339</v>
      </c>
      <c r="C4">
        <v>220000</v>
      </c>
      <c r="D4" s="7">
        <f>Post__5[[#This Row],[Total Engagement]]/Post__5[[#This Row],[Total_Budget]]</f>
        <v>1.1651772727272727</v>
      </c>
    </row>
    <row r="5" spans="1:4" x14ac:dyDescent="0.25">
      <c r="A5" t="s">
        <v>4</v>
      </c>
      <c r="B5">
        <v>220610</v>
      </c>
      <c r="C5">
        <v>200000</v>
      </c>
      <c r="D5" s="7">
        <f>Post__5[[#This Row],[Total Engagement]]/Post__5[[#This Row],[Total_Budget]]</f>
        <v>1.1030500000000001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F4B3-2053-48CD-811E-D8634420602E}">
  <dimension ref="A1:K5"/>
  <sheetViews>
    <sheetView workbookViewId="0">
      <selection activeCell="H12" sqref="H12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17.28515625" bestFit="1" customWidth="1"/>
    <col min="5" max="5" width="23.140625" bestFit="1" customWidth="1"/>
    <col min="6" max="6" width="21.42578125" bestFit="1" customWidth="1"/>
    <col min="7" max="7" width="21.5703125" bestFit="1" customWidth="1"/>
    <col min="8" max="8" width="21.5703125" customWidth="1"/>
    <col min="9" max="9" width="19" customWidth="1"/>
    <col min="10" max="12" width="21.5703125" customWidth="1"/>
  </cols>
  <sheetData>
    <row r="1" spans="1:11" x14ac:dyDescent="0.25">
      <c r="A1" t="s">
        <v>0</v>
      </c>
      <c r="B1" t="s">
        <v>5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1" x14ac:dyDescent="0.25">
      <c r="A2" t="s">
        <v>1</v>
      </c>
      <c r="B2" s="4">
        <v>45505</v>
      </c>
      <c r="C2" s="4">
        <v>45535</v>
      </c>
      <c r="D2">
        <v>30</v>
      </c>
      <c r="E2" s="4">
        <v>45475</v>
      </c>
      <c r="F2">
        <v>29029</v>
      </c>
      <c r="G2">
        <v>67773</v>
      </c>
      <c r="H2" s="6">
        <f>Post__4[[#This Row],[Engagement_Before]]/(Post__4[[#This Row],[Start_Date]]-Post__4[[#This Row],[Pre_Campaign_Period]])</f>
        <v>2259.1</v>
      </c>
      <c r="I2" s="6">
        <f>Post__4[[#This Row],[Engagement_During]]/Post__4[[#This Row],[Campaign_Days]]</f>
        <v>967.63333333333333</v>
      </c>
      <c r="J2" s="3">
        <f>(Post__4[[#This Row],[Daily_Engagement_During]]-Post__4[[#This Row],[Daily_Engagement_Before]])/Post__4[[#This Row],[Daily_Engagement_Before]]</f>
        <v>-0.57167308515190418</v>
      </c>
      <c r="K2" s="6"/>
    </row>
    <row r="3" spans="1:11" x14ac:dyDescent="0.25">
      <c r="A3" t="s">
        <v>3</v>
      </c>
      <c r="B3" s="4">
        <v>45570</v>
      </c>
      <c r="C3" s="4">
        <v>45601</v>
      </c>
      <c r="D3">
        <v>31</v>
      </c>
      <c r="E3" s="4">
        <v>45539</v>
      </c>
      <c r="F3">
        <v>25499</v>
      </c>
      <c r="G3">
        <v>95022</v>
      </c>
      <c r="H3" s="6">
        <f>Post__4[[#This Row],[Engagement_Before]]/(Post__4[[#This Row],[Start_Date]]-Post__4[[#This Row],[Pre_Campaign_Period]])</f>
        <v>3065.2258064516127</v>
      </c>
      <c r="I3" s="6">
        <f>Post__4[[#This Row],[Engagement_During]]/Post__4[[#This Row],[Campaign_Days]]</f>
        <v>822.54838709677415</v>
      </c>
      <c r="J3" s="3">
        <f>(Post__4[[#This Row],[Daily_Engagement_During]]-Post__4[[#This Row],[Daily_Engagement_Before]])/Post__4[[#This Row],[Daily_Engagement_Before]]</f>
        <v>-0.73165161752015317</v>
      </c>
      <c r="K3" s="6"/>
    </row>
    <row r="4" spans="1:11" x14ac:dyDescent="0.25">
      <c r="A4" t="s">
        <v>2</v>
      </c>
      <c r="B4" s="4">
        <v>45453</v>
      </c>
      <c r="C4" s="4">
        <v>45478</v>
      </c>
      <c r="D4">
        <v>25</v>
      </c>
      <c r="E4" s="4">
        <v>45428</v>
      </c>
      <c r="F4">
        <v>20185</v>
      </c>
      <c r="G4">
        <v>18337</v>
      </c>
      <c r="H4" s="6">
        <f>Post__4[[#This Row],[Engagement_Before]]/(Post__4[[#This Row],[Start_Date]]-Post__4[[#This Row],[Pre_Campaign_Period]])</f>
        <v>733.48</v>
      </c>
      <c r="I4" s="6">
        <f>Post__4[[#This Row],[Engagement_During]]/Post__4[[#This Row],[Campaign_Days]]</f>
        <v>807.4</v>
      </c>
      <c r="J4" s="3">
        <f>(Post__4[[#This Row],[Daily_Engagement_During]]-Post__4[[#This Row],[Daily_Engagement_Before]])/Post__4[[#This Row],[Daily_Engagement_Before]]</f>
        <v>0.10077984403119371</v>
      </c>
      <c r="K4" s="6"/>
    </row>
    <row r="5" spans="1:11" x14ac:dyDescent="0.25">
      <c r="A5" t="s">
        <v>4</v>
      </c>
      <c r="B5" s="4">
        <v>45667</v>
      </c>
      <c r="C5" s="4">
        <v>45698</v>
      </c>
      <c r="D5">
        <v>31</v>
      </c>
      <c r="E5" s="4">
        <v>45636</v>
      </c>
      <c r="F5">
        <v>16716</v>
      </c>
      <c r="G5">
        <v>133833</v>
      </c>
      <c r="H5" s="6">
        <f>Post__4[[#This Row],[Engagement_Before]]/(Post__4[[#This Row],[Start_Date]]-Post__4[[#This Row],[Pre_Campaign_Period]])</f>
        <v>4317.1935483870966</v>
      </c>
      <c r="I5" s="6">
        <f>Post__4[[#This Row],[Engagement_During]]/Post__4[[#This Row],[Campaign_Days]]</f>
        <v>539.22580645161293</v>
      </c>
      <c r="J5" s="3">
        <f>(Post__4[[#This Row],[Daily_Engagement_During]]-Post__4[[#This Row],[Daily_Engagement_Before]])/Post__4[[#This Row],[Daily_Engagement_Before]]</f>
        <v>-0.87509806998273976</v>
      </c>
      <c r="K5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6CD8-46E4-4573-807F-1E9284AD4B4D}">
  <dimension ref="A1:B5"/>
  <sheetViews>
    <sheetView workbookViewId="0">
      <selection activeCell="E7" sqref="E7"/>
    </sheetView>
  </sheetViews>
  <sheetFormatPr defaultRowHeight="15" x14ac:dyDescent="0.25"/>
  <cols>
    <col min="1" max="1" width="18.42578125" bestFit="1" customWidth="1"/>
    <col min="2" max="2" width="24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4</v>
      </c>
      <c r="B2">
        <v>17249</v>
      </c>
    </row>
    <row r="3" spans="1:2" x14ac:dyDescent="0.25">
      <c r="A3" t="s">
        <v>3</v>
      </c>
      <c r="B3">
        <v>15676</v>
      </c>
    </row>
    <row r="4" spans="1:2" x14ac:dyDescent="0.25">
      <c r="A4" t="s">
        <v>2</v>
      </c>
      <c r="B4">
        <v>11191</v>
      </c>
    </row>
    <row r="5" spans="1:2" x14ac:dyDescent="0.25">
      <c r="A5" t="s">
        <v>1</v>
      </c>
      <c r="B5">
        <v>10422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42A4A-A202-40FF-998A-5BCECEE2B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Average_And_Total</vt:lpstr>
      <vt:lpstr>ROI</vt:lpstr>
      <vt:lpstr>Engagement_Uplift</vt:lpstr>
      <vt:lpstr>Strongest_Follower_Growth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Khatana</cp:lastModifiedBy>
  <dcterms:created xsi:type="dcterms:W3CDTF">2025-11-20T05:25:56Z</dcterms:created>
  <dcterms:modified xsi:type="dcterms:W3CDTF">2025-12-26T02:45:45Z</dcterms:modified>
</cp:coreProperties>
</file>